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14"/>
  <workbookPr codeName="ThisWorkbook"/>
  <mc:AlternateContent xmlns:mc="http://schemas.openxmlformats.org/markup-compatibility/2006">
    <mc:Choice Requires="x15">
      <x15ac:absPath xmlns:x15ac="http://schemas.microsoft.com/office/spreadsheetml/2010/11/ac" url="S:\SDL\O15\UA\121218 - Sep1 Excel Templates W1 LSO\1037_HEB_Excel_HOAllSep_LSO_1\Target\"/>
    </mc:Choice>
  </mc:AlternateContent>
  <bookViews>
    <workbookView xWindow="0" yWindow="0" windowWidth="0" windowHeight="0"/>
  </bookViews>
  <sheets>
    <sheet name="טופס הצעת מחיר לבניה" sheetId="1" r:id="rId1"/>
    <sheet name="סיכום עלות הצעת מחיר" sheetId="2" r:id="rId2"/>
  </sheets>
  <definedNames>
    <definedName name="Tax">'סיכום עלות הצעת מחיר'!$E$34</definedName>
    <definedName name="TaxRate">'סיכום עלות הצעת מחיר'!$E$33</definedName>
    <definedName name="_xlnm.Print_Area" localSheetId="0">'טופס הצעת מחיר לבניה'!$B$1:$F$48</definedName>
    <definedName name="_xlnm.Print_Area" localSheetId="1">'סיכום עלות הצעת מחיר'!$B$1:$E$50</definedName>
  </definedNames>
  <calcPr calcId="152511"/>
</workbook>
</file>

<file path=xl/calcChain.xml><?xml version="1.0" encoding="utf-8"?>
<calcChain xmlns="http://schemas.openxmlformats.org/spreadsheetml/2006/main">
  <c r="B43" i="2" l="1"/>
  <c r="C43" i="2"/>
  <c r="B44" i="2"/>
  <c r="C44" i="2"/>
  <c r="B45" i="2"/>
  <c r="C45" i="2"/>
  <c r="B46" i="2"/>
  <c r="C46" i="2"/>
  <c r="C42" i="2"/>
  <c r="B42" i="2"/>
  <c r="E15" i="2" l="1"/>
  <c r="E8" i="2"/>
  <c r="E32" i="2" s="1"/>
  <c r="E34" i="2" s="1"/>
  <c r="E35" i="2" s="1"/>
  <c r="E9" i="2"/>
  <c r="E10" i="2"/>
  <c r="E11" i="2"/>
  <c r="E12" i="2"/>
  <c r="E13" i="2"/>
  <c r="E14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F14" i="2" l="1"/>
  <c r="F13" i="2"/>
  <c r="F12" i="2"/>
  <c r="F11" i="2"/>
  <c r="F10" i="2"/>
  <c r="F9" i="2"/>
  <c r="F15" i="2"/>
  <c r="F8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32" i="2" l="1"/>
</calcChain>
</file>

<file path=xl/sharedStrings.xml><?xml version="1.0" encoding="utf-8"?>
<sst xmlns="http://schemas.openxmlformats.org/spreadsheetml/2006/main" count="64" uniqueCount="55">
  <si>
    <t>שם</t>
  </si>
  <si>
    <t>כתובת</t>
  </si>
  <si>
    <t>עיר, מיקוד</t>
  </si>
  <si>
    <t>טלפון</t>
  </si>
  <si>
    <t>דואר אלקטרוני</t>
  </si>
  <si>
    <t>שם פרוייקט</t>
  </si>
  <si>
    <t>תיאור</t>
  </si>
  <si>
    <t>עלות</t>
  </si>
  <si>
    <t>סך הכל</t>
  </si>
  <si>
    <t>עץ במידה של 2x8x10</t>
  </si>
  <si>
    <t>עץ במידה של 2x4x10</t>
  </si>
  <si>
    <t>תומכים</t>
  </si>
  <si>
    <t>קופסת מסמרים, 76 מ"מ</t>
  </si>
  <si>
    <t>קופסת ברגים, 50 מ"מ</t>
  </si>
  <si>
    <t>זוג כפפות מעור</t>
  </si>
  <si>
    <t>מס</t>
  </si>
  <si>
    <t>שיעור מס</t>
  </si>
  <si>
    <t>סה"כ</t>
  </si>
  <si>
    <t>ערן הראל</t>
  </si>
  <si>
    <t>צבי עמיתי</t>
  </si>
  <si>
    <t>תאריך השלמה</t>
  </si>
  <si>
    <t>חברה</t>
  </si>
  <si>
    <t>פבריקם, בע"מ</t>
  </si>
  <si>
    <t>עלות עבודה</t>
  </si>
  <si>
    <t>הצעת החברה</t>
  </si>
  <si>
    <t>אישור הבעלים</t>
  </si>
  <si>
    <t>תאריך</t>
  </si>
  <si>
    <t>סיכום עלות הצעת מחיר</t>
  </si>
  <si>
    <t>אנו, חברת פבריקם בע"מ, מציעים לבצע את היקף העבודה הבא עד לתאריך 14/7/2011 בעלות כוללת של 476.43 ש"ח.</t>
  </si>
  <si>
    <t>אני, ערן הראל, מקבל את הצעת העבודה המפורטת לעיל, אשר עתידה להסתיים עד לתאריך 14/7/2011, בעלות של 476.43 ש"ח.</t>
  </si>
  <si>
    <t>טופס הצעת מחיר לבניה</t>
  </si>
  <si>
    <t>פרטי בעלים</t>
  </si>
  <si>
    <t>פרטי קבלן</t>
  </si>
  <si>
    <t>היקף עבודה</t>
  </si>
  <si>
    <t>לא כלול</t>
  </si>
  <si>
    <t>הוגש על-ידי (נציג החברה)</t>
  </si>
  <si>
    <t>הוגש על-ידי (בעלי הבית או נציג מיופה כח)</t>
  </si>
  <si>
    <t>רשימת חומרים ועלויות</t>
  </si>
  <si>
    <t>פירוט חומרים ועלויות</t>
  </si>
  <si>
    <t>סכום ביניים</t>
  </si>
  <si>
    <t>כמות</t>
  </si>
  <si>
    <t xml:space="preserve"> </t>
  </si>
  <si>
    <t>סך הכל</t>
  </si>
  <si>
    <t>הערות</t>
  </si>
  <si>
    <t>היקף הפרוייקט יתואר כאן. הקלד את כל המפרטים שברצונך לציין. זהו פרוייקט לדוגמה של בניית גרם מדרגות גדול. אנו נשתמש בעץ 2x4 ו-2x8 בלבד, וכן בתומכים, כדי לבנות את המסגרת. המדרגות ייחתכו מחומרי העץ בגודל 2x4. הברגים שבהם נשתמש לא יהיו קטנים מ-50 מ"מ. המסמרים שבהם נשתמש לא יהיו קטנים מ- 76 מ"מ. קיבולת העומס המרבית לכל מדרגה תהיה 226 ק"ג. המדרגות יהיו תואמות לשאר המדרגות בבית. הקבלן אחראי על ניקוי הבית בסיום העבודה.</t>
  </si>
  <si>
    <t>רחוב הצפצפות 123</t>
  </si>
  <si>
    <t>סמטת אלון 4567</t>
  </si>
  <si>
    <t>הרצליה, 98052</t>
  </si>
  <si>
    <t>tzvi@fabrikam.com</t>
  </si>
  <si>
    <t>eran@proseware.com</t>
  </si>
  <si>
    <t>מדרגות לעסק</t>
  </si>
  <si>
    <t>ללא התקנת מעקה. על בעל הבית להכין את הקרקע לעבודה ולצבוע את המדרגות בסיום העבודה.</t>
  </si>
  <si>
    <t>‎8885550111</t>
  </si>
  <si>
    <t>‎8885550123</t>
  </si>
  <si>
    <t>‎41469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</si>
</sst>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&lt;=9999999]###\-####;\(###\)\ ###\-####"/>
    <numFmt numFmtId="165" formatCode="&quot;₪&quot;\ #,##0.00"/>
    <numFmt numFmtId="166" formatCode="&quot;₪&quot;\ #,##0.00;;;"/>
    <numFmt numFmtId="167" formatCode="_ [$₪-40D]\ * #,##0.00_ ;_ [$₪-40D]\ * \-#,##0.00_ ;_ [$₪-40D]\ * &quot;-&quot;??_ ;_ @_ "/>
  </numFmts>
  <fonts count="16">
    <font>
      <sz val="10"/>
      <color theme="1"/>
      <name val="Arial"/>
      <family val="2"/>
      <scheme val="minor"/>
    </font>
    <font>
      <b/>
      <sz val="11"/>
      <color rgb="FF3F3F3F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 tint="0.34998626667073579"/>
      <name val="השפעה"/>
      <family val="2"/>
      <scheme val="major"/>
    </font>
    <font>
      <sz val="22"/>
      <color theme="1" tint="0.34998626667073579"/>
      <name val="השפעה"/>
      <family val="2"/>
      <scheme val="major"/>
    </font>
    <font>
      <sz val="10"/>
      <color theme="1" tint="0.34998626667073579"/>
      <name val="Arial"/>
      <family val="2"/>
      <scheme val="minor"/>
    </font>
    <font>
      <sz val="14"/>
      <color theme="1" tint="0.34998626667073579"/>
      <name val="השפעה"/>
      <family val="2"/>
      <scheme val="major"/>
    </font>
    <font>
      <sz val="10"/>
      <color theme="1"/>
      <name val="Tahoma"/>
      <family val="2"/>
    </font>
    <font>
      <sz val="22"/>
      <color theme="1" tint="0.34998626667073579"/>
      <name val="Tahoma"/>
      <family val="2"/>
    </font>
    <font>
      <sz val="14"/>
      <color theme="1" tint="0.34998626667073579"/>
      <name val="Tahoma"/>
      <family val="2"/>
    </font>
    <font>
      <sz val="10"/>
      <color theme="1" tint="0.34998626667073579"/>
      <name val="Tahoma"/>
      <family val="2"/>
    </font>
    <font>
      <b/>
      <sz val="10"/>
      <color theme="1" tint="0.34998626667073579"/>
      <name val="Tahoma"/>
      <family val="2"/>
    </font>
    <font>
      <sz val="12"/>
      <color theme="1" tint="0.34998626667073579"/>
      <name val="Tahoma"/>
      <family val="2"/>
    </font>
    <font>
      <sz val="10"/>
      <color rgb="FFFF0000"/>
      <name val="Tahoma"/>
      <family val="2"/>
    </font>
    <font>
      <b/>
      <sz val="10"/>
      <color theme="1" tint="0.14999847407452621"/>
      <name val="Tahoma"/>
      <family val="2"/>
    </font>
    <font>
      <sz val="10"/>
      <color theme="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darkUp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hair">
        <color theme="2"/>
      </left>
      <right/>
      <top style="hair">
        <color theme="2"/>
      </top>
      <bottom/>
      <diagonal/>
    </border>
    <border>
      <left/>
      <right/>
      <top style="hair">
        <color theme="2"/>
      </top>
      <bottom/>
      <diagonal/>
    </border>
    <border>
      <left/>
      <right style="hair">
        <color theme="2"/>
      </right>
      <top style="hair">
        <color theme="2"/>
      </top>
      <bottom/>
      <diagonal/>
    </border>
    <border>
      <left style="hair">
        <color theme="2"/>
      </left>
      <right/>
      <top/>
      <bottom/>
      <diagonal/>
    </border>
    <border>
      <left/>
      <right style="hair">
        <color theme="2"/>
      </right>
      <top/>
      <bottom/>
      <diagonal/>
    </border>
    <border>
      <left/>
      <right/>
      <top/>
      <bottom style="hair">
        <color theme="2"/>
      </bottom>
      <diagonal/>
    </border>
    <border>
      <left/>
      <right style="hair">
        <color theme="2"/>
      </right>
      <top/>
      <bottom style="hair">
        <color theme="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9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0" fontId="4" fillId="0" borderId="0" applyNumberFormat="0" applyFill="0" applyBorder="0" applyProtection="0">
      <alignment vertical="center"/>
    </xf>
    <xf numFmtId="0" fontId="6" fillId="0" borderId="0" applyNumberFormat="0" applyFill="0" applyBorder="0" applyProtection="0">
      <alignment vertical="center"/>
    </xf>
    <xf numFmtId="0" fontId="6" fillId="0" borderId="0" applyNumberFormat="0" applyFill="0" applyBorder="0" applyAlignment="0" applyProtection="0"/>
    <xf numFmtId="0" fontId="3" fillId="0" borderId="0" applyNumberFormat="0" applyFill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0">
    <xf numFmtId="0" fontId="0" fillId="0" borderId="0" xfId="0"/>
    <xf numFmtId="0" fontId="7" fillId="0" borderId="0" xfId="0" applyFont="1" applyAlignment="1">
      <alignment readingOrder="2"/>
    </xf>
    <xf numFmtId="0" fontId="8" fillId="0" borderId="0" xfId="3" applyFont="1" applyAlignment="1">
      <alignment vertical="center" readingOrder="2"/>
    </xf>
    <xf numFmtId="0" fontId="7" fillId="0" borderId="0" xfId="0" applyFont="1" applyAlignment="1">
      <alignment vertical="center" readingOrder="2"/>
    </xf>
    <xf numFmtId="0" fontId="7" fillId="4" borderId="0" xfId="0" applyFont="1" applyFill="1" applyAlignment="1">
      <alignment readingOrder="2"/>
    </xf>
    <xf numFmtId="0" fontId="9" fillId="0" borderId="0" xfId="4" applyFont="1" applyAlignment="1">
      <alignment vertical="center" readingOrder="2"/>
    </xf>
    <xf numFmtId="0" fontId="10" fillId="0" borderId="0" xfId="0" applyFont="1" applyAlignment="1">
      <alignment readingOrder="2"/>
    </xf>
    <xf numFmtId="0" fontId="10" fillId="0" borderId="0" xfId="0" applyFont="1" applyAlignment="1">
      <alignment horizontal="right" readingOrder="2"/>
    </xf>
    <xf numFmtId="164" fontId="10" fillId="0" borderId="9" xfId="0" applyNumberFormat="1" applyFont="1" applyBorder="1" applyAlignment="1">
      <alignment horizontal="right" readingOrder="2"/>
    </xf>
    <xf numFmtId="0" fontId="10" fillId="0" borderId="0" xfId="0" applyFont="1" applyFill="1" applyBorder="1" applyAlignment="1">
      <alignment horizontal="right" readingOrder="2"/>
    </xf>
    <xf numFmtId="14" fontId="10" fillId="0" borderId="9" xfId="0" applyNumberFormat="1" applyFont="1" applyBorder="1" applyAlignment="1">
      <alignment horizontal="right" readingOrder="2"/>
    </xf>
    <xf numFmtId="0" fontId="7" fillId="0" borderId="0" xfId="0" applyFont="1" applyBorder="1" applyAlignment="1">
      <alignment readingOrder="2"/>
    </xf>
    <xf numFmtId="0" fontId="7" fillId="0" borderId="10" xfId="0" applyFont="1" applyBorder="1" applyAlignment="1">
      <alignment readingOrder="2"/>
    </xf>
    <xf numFmtId="0" fontId="11" fillId="0" borderId="0" xfId="0" applyFont="1" applyBorder="1" applyAlignment="1">
      <alignment readingOrder="2"/>
    </xf>
    <xf numFmtId="0" fontId="7" fillId="0" borderId="2" xfId="0" applyFont="1" applyBorder="1" applyAlignment="1">
      <alignment readingOrder="2"/>
    </xf>
    <xf numFmtId="0" fontId="7" fillId="0" borderId="3" xfId="0" applyFont="1" applyBorder="1" applyAlignment="1">
      <alignment readingOrder="2"/>
    </xf>
    <xf numFmtId="0" fontId="7" fillId="0" borderId="4" xfId="0" applyFont="1" applyBorder="1" applyAlignment="1">
      <alignment readingOrder="2"/>
    </xf>
    <xf numFmtId="0" fontId="7" fillId="0" borderId="5" xfId="0" applyFont="1" applyBorder="1" applyAlignment="1">
      <alignment readingOrder="2"/>
    </xf>
    <xf numFmtId="0" fontId="8" fillId="0" borderId="0" xfId="0" applyFont="1" applyAlignment="1">
      <alignment readingOrder="2"/>
    </xf>
    <xf numFmtId="0" fontId="7" fillId="0" borderId="6" xfId="0" applyFont="1" applyBorder="1" applyAlignment="1">
      <alignment readingOrder="2"/>
    </xf>
    <xf numFmtId="0" fontId="12" fillId="0" borderId="0" xfId="0" applyFont="1" applyAlignment="1">
      <alignment readingOrder="2"/>
    </xf>
    <xf numFmtId="0" fontId="7" fillId="0" borderId="0" xfId="0" applyFont="1" applyFill="1" applyBorder="1" applyAlignment="1">
      <alignment horizontal="right" readingOrder="2"/>
    </xf>
    <xf numFmtId="0" fontId="7" fillId="0" borderId="0" xfId="0" applyFont="1" applyFill="1" applyBorder="1" applyAlignment="1">
      <alignment readingOrder="2"/>
    </xf>
    <xf numFmtId="0" fontId="7" fillId="0" borderId="0" xfId="0" applyNumberFormat="1" applyFont="1" applyFill="1" applyBorder="1" applyAlignment="1">
      <alignment horizontal="right" readingOrder="2"/>
    </xf>
    <xf numFmtId="165" fontId="7" fillId="0" borderId="0" xfId="0" applyNumberFormat="1" applyFont="1" applyFill="1" applyBorder="1" applyAlignment="1">
      <alignment readingOrder="2"/>
    </xf>
    <xf numFmtId="166" fontId="7" fillId="0" borderId="0" xfId="0" applyNumberFormat="1" applyFont="1" applyFill="1" applyBorder="1" applyAlignment="1">
      <alignment readingOrder="2"/>
    </xf>
    <xf numFmtId="0" fontId="13" fillId="0" borderId="0" xfId="0" applyFont="1" applyBorder="1" applyAlignment="1">
      <alignment horizontal="left" readingOrder="2"/>
    </xf>
    <xf numFmtId="0" fontId="13" fillId="0" borderId="0" xfId="0" applyFont="1" applyFill="1" applyBorder="1" applyAlignment="1">
      <alignment horizontal="left" readingOrder="2"/>
    </xf>
    <xf numFmtId="0" fontId="13" fillId="0" borderId="5" xfId="0" applyFont="1" applyBorder="1" applyAlignment="1">
      <alignment horizontal="left" readingOrder="2"/>
    </xf>
    <xf numFmtId="10" fontId="10" fillId="0" borderId="12" xfId="0" applyNumberFormat="1" applyFont="1" applyBorder="1" applyAlignment="1">
      <alignment readingOrder="2"/>
    </xf>
    <xf numFmtId="0" fontId="14" fillId="0" borderId="0" xfId="0" applyFont="1" applyAlignment="1">
      <alignment horizontal="right" readingOrder="2"/>
    </xf>
    <xf numFmtId="0" fontId="13" fillId="0" borderId="0" xfId="0" applyFont="1" applyAlignment="1">
      <alignment readingOrder="2"/>
    </xf>
    <xf numFmtId="0" fontId="7" fillId="5" borderId="0" xfId="0" applyFont="1" applyFill="1" applyBorder="1" applyAlignment="1">
      <alignment readingOrder="2"/>
    </xf>
    <xf numFmtId="0" fontId="15" fillId="5" borderId="0" xfId="0" applyFont="1" applyFill="1" applyAlignment="1">
      <alignment readingOrder="2"/>
    </xf>
    <xf numFmtId="0" fontId="11" fillId="0" borderId="11" xfId="0" applyFont="1" applyBorder="1" applyAlignment="1">
      <alignment readingOrder="2"/>
    </xf>
    <xf numFmtId="0" fontId="7" fillId="0" borderId="11" xfId="0" applyFont="1" applyBorder="1" applyAlignment="1">
      <alignment readingOrder="2"/>
    </xf>
    <xf numFmtId="0" fontId="15" fillId="5" borderId="0" xfId="0" applyFont="1" applyFill="1" applyBorder="1" applyAlignment="1">
      <alignment readingOrder="2"/>
    </xf>
    <xf numFmtId="167" fontId="15" fillId="5" borderId="0" xfId="0" applyNumberFormat="1" applyFont="1" applyFill="1" applyBorder="1" applyAlignment="1">
      <alignment readingOrder="2"/>
    </xf>
    <xf numFmtId="0" fontId="7" fillId="5" borderId="0" xfId="0" applyFont="1" applyFill="1" applyAlignment="1">
      <alignment readingOrder="2"/>
    </xf>
    <xf numFmtId="0" fontId="13" fillId="0" borderId="7" xfId="0" applyFont="1" applyBorder="1" applyAlignment="1">
      <alignment readingOrder="2"/>
    </xf>
    <xf numFmtId="0" fontId="7" fillId="0" borderId="8" xfId="0" applyFont="1" applyBorder="1" applyAlignment="1">
      <alignment readingOrder="2"/>
    </xf>
    <xf numFmtId="0" fontId="7" fillId="0" borderId="7" xfId="0" applyFont="1" applyBorder="1" applyAlignment="1">
      <alignment readingOrder="2"/>
    </xf>
    <xf numFmtId="165" fontId="14" fillId="6" borderId="10" xfId="2" applyNumberFormat="1" applyFont="1" applyFill="1" applyBorder="1" applyAlignment="1">
      <alignment readingOrder="2"/>
    </xf>
    <xf numFmtId="165" fontId="14" fillId="6" borderId="0" xfId="2" applyNumberFormat="1" applyFont="1" applyFill="1" applyBorder="1" applyAlignment="1">
      <alignment readingOrder="2"/>
    </xf>
    <xf numFmtId="0" fontId="10" fillId="0" borderId="9" xfId="0" applyFont="1" applyBorder="1" applyAlignment="1">
      <alignment horizontal="right" readingOrder="2"/>
    </xf>
    <xf numFmtId="0" fontId="10" fillId="0" borderId="9" xfId="7" applyFont="1" applyBorder="1" applyAlignment="1">
      <alignment horizontal="right" readingOrder="2"/>
    </xf>
    <xf numFmtId="0" fontId="7" fillId="0" borderId="0" xfId="0" applyFont="1" applyAlignment="1">
      <alignment horizontal="right" readingOrder="2"/>
    </xf>
    <xf numFmtId="0" fontId="10" fillId="5" borderId="0" xfId="1" applyFont="1" applyFill="1" applyBorder="1" applyAlignment="1" applyProtection="1">
      <alignment horizontal="right" vertical="top" wrapText="1" readingOrder="2"/>
      <protection locked="0"/>
    </xf>
    <xf numFmtId="0" fontId="10" fillId="5" borderId="0" xfId="1" applyFont="1" applyFill="1" applyBorder="1" applyAlignment="1">
      <alignment horizontal="right" vertical="top" wrapText="1" readingOrder="2"/>
    </xf>
    <xf numFmtId="0" fontId="7" fillId="0" borderId="12" xfId="0" applyFont="1" applyBorder="1" applyAlignment="1">
      <alignment readingOrder="2"/>
    </xf>
  </cellXfs>
  <cellStyles count="9">
    <cellStyle name="Normal" xfId="0" builtinId="0" customBuiltin="1"/>
    <cellStyle name="הדגשה2" xfId="2" builtinId="33"/>
    <cellStyle name="היפר-קישור" xfId="7" builtinId="8" customBuiltin="1"/>
    <cellStyle name="היפר-קישור שהופעל" xfId="8" builtinId="9" customBuiltin="1"/>
    <cellStyle name="כותרת" xfId="3" builtinId="15" customBuiltin="1"/>
    <cellStyle name="כותרת 1" xfId="4" builtinId="16" customBuiltin="1"/>
    <cellStyle name="כותרת 2" xfId="5" builtinId="17" customBuiltin="1"/>
    <cellStyle name="כותרת 3" xfId="6" builtinId="18" customBuiltin="1"/>
    <cellStyle name="פלט" xfId="1" builtinId="21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alignment textRotation="0" wrapText="0" indent="0" justifyLastLine="0" shrinkToFit="0" readingOrder="2"/>
    </dxf>
    <dxf>
      <font>
        <strike val="0"/>
        <outline val="0"/>
        <shadow val="0"/>
        <u val="none"/>
        <vertAlign val="baseline"/>
        <name val="Tahoma"/>
        <scheme val="none"/>
      </font>
      <numFmt numFmtId="0" formatCode="General"/>
      <alignment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numFmt numFmtId="165" formatCode="&quot;₪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name val="Tahoma"/>
        <scheme val="none"/>
      </font>
      <numFmt numFmtId="165" formatCode="&quot;₪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numFmt numFmtId="165" formatCode="&quot;₪&quot;\ 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name val="Tahoma"/>
        <scheme val="none"/>
      </font>
      <alignment textRotation="0" wrapText="0" indent="0" justifyLastLine="0" shrinkToFit="0" readingOrder="2"/>
    </dxf>
    <dxf>
      <font>
        <strike val="0"/>
        <outline val="0"/>
        <shadow val="0"/>
        <u val="none"/>
        <vertAlign val="baseline"/>
        <name val="Tahoma"/>
        <scheme val="none"/>
      </font>
      <alignment textRotation="0" wrapText="0" indent="0" justifyLastLine="0" shrinkToFit="0" readingOrder="2"/>
    </dxf>
    <dxf>
      <font>
        <strike val="0"/>
        <outline val="0"/>
        <shadow val="0"/>
        <u val="none"/>
        <vertAlign val="baseline"/>
        <name val="Tahoma"/>
        <scheme val="none"/>
      </font>
      <alignment textRotation="0" wrapText="0" indent="0" justifyLastLine="0" shrinkToFit="0" readingOrder="2"/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1" tint="0.34998626667073579"/>
      </font>
      <fill>
        <patternFill>
          <bgColor theme="0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/>
        <i val="0"/>
        <color theme="1" tint="0.34998626667073579"/>
      </font>
      <fill>
        <patternFill patternType="solid">
          <fgColor theme="1"/>
          <bgColor theme="0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b val="0"/>
        <i val="0"/>
        <color theme="1" tint="0.34998626667073579"/>
      </font>
      <fill>
        <patternFill>
          <bgColor theme="0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</dxfs>
  <tableStyles count="1" defaultTableStyle="TableStyleMedium2" defaultPivotStyle="PivotStyleLight16">
    <tableStyle name="ConstructionBidSheet_table1" pivot="0" count="6">
      <tableStyleElement type="wholeTable" dxfId="19"/>
      <tableStyleElement type="headerRow" dxfId="18"/>
      <tableStyleElement type="totalRow" dxfId="17"/>
      <tableStyleElement type="lastColumn" dxfId="16"/>
      <tableStyleElement type="lastHeaderCell" dxfId="15"/>
      <tableStyleElement type="lastTotalCell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66346739485847095"/>
          <c:y val="0.13013194205968628"/>
          <c:w val="0.42847104111986001"/>
          <c:h val="0.71570836396422688"/>
        </c:manualLayout>
      </c:layout>
      <c:pieChart>
        <c:varyColors val="1"/>
        <c:ser>
          <c:idx val="0"/>
          <c:order val="0"/>
          <c:cat>
            <c:strRef>
              <c:f>'סיכום עלות הצעת מחיר'!$B$42:$B$46</c:f>
              <c:strCache>
                <c:ptCount val="5"/>
                <c:pt idx="0">
                  <c:v>עלות עבודה</c:v>
                </c:pt>
                <c:pt idx="1">
                  <c:v>עץ במידה של 2x4x10</c:v>
                </c:pt>
                <c:pt idx="2">
                  <c:v>תומכים</c:v>
                </c:pt>
                <c:pt idx="3">
                  <c:v>עץ במידה של 2x8x10</c:v>
                </c:pt>
                <c:pt idx="4">
                  <c:v>זוג כפפות מעור</c:v>
                </c:pt>
              </c:strCache>
            </c:strRef>
          </c:cat>
          <c:val>
            <c:numRef>
              <c:f>'סיכום עלות הצעת מחיר'!$C$42:$C$46</c:f>
              <c:numCache>
                <c:formatCode>_ [$₪-40D]\ * #,##0.00_ ;_ [$₪-40D]\ * \-#,##0.00_ ;_ [$₪-40D]\ * "-"??_ ;_ @_ </c:formatCode>
                <c:ptCount val="5"/>
                <c:pt idx="0">
                  <c:v>200</c:v>
                </c:pt>
                <c:pt idx="1">
                  <c:v>99.399999999999991</c:v>
                </c:pt>
                <c:pt idx="2">
                  <c:v>74.7</c:v>
                </c:pt>
                <c:pt idx="3">
                  <c:v>33.75</c:v>
                </c:pt>
                <c:pt idx="4">
                  <c:v>15.5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r"/>
      <c:layout>
        <c:manualLayout>
          <c:xMode val="edge"/>
          <c:yMode val="edge"/>
          <c:x val="5.1966029099401491E-2"/>
          <c:y val="5.9113269920603069E-2"/>
          <c:w val="0.44860114594238137"/>
          <c:h val="0.85102783650603853"/>
        </c:manualLayout>
      </c:layout>
      <c:overlay val="1"/>
      <c:txPr>
        <a:bodyPr/>
        <a:lstStyle/>
        <a:p>
          <a:pPr rtl="1">
            <a:defRPr/>
          </a:pPr>
          <a:endParaRPr lang="he-I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1126506</xdr:colOff>
      <xdr:row>0</xdr:row>
      <xdr:rowOff>171450</xdr:rowOff>
    </xdr:from>
    <xdr:to>
      <xdr:col>5</xdr:col>
      <xdr:colOff>2064235</xdr:colOff>
      <xdr:row>1</xdr:row>
      <xdr:rowOff>552374</xdr:rowOff>
    </xdr:to>
    <xdr:pic>
      <xdr:nvPicPr>
        <xdr:cNvPr id="2" name="מציין מיקום של סמל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879090" y="171450"/>
          <a:ext cx="937729" cy="6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352428</xdr:colOff>
      <xdr:row>31</xdr:row>
      <xdr:rowOff>200024</xdr:rowOff>
    </xdr:from>
    <xdr:to>
      <xdr:col>9</xdr:col>
      <xdr:colOff>381000</xdr:colOff>
      <xdr:row>35</xdr:row>
      <xdr:rowOff>152399</xdr:rowOff>
    </xdr:to>
    <xdr:sp macro="" textlink="">
      <xdr:nvSpPr>
        <xdr:cNvPr id="8" name="הסבר מלבני 7" descr="מידע: התאם את שיעור המס לפי רצונך. אם אין להוסיפו להצעת המחיר, הזן אפס בתא שיעור המס.&#10;" title="מידע"/>
        <xdr:cNvSpPr/>
      </xdr:nvSpPr>
      <xdr:spPr>
        <a:xfrm flipH="1">
          <a:off x="9981819000" y="6810374"/>
          <a:ext cx="2276472" cy="790575"/>
        </a:xfrm>
        <a:prstGeom prst="wedgeRectCallout">
          <a:avLst>
            <a:gd name="adj1" fmla="val -57959"/>
            <a:gd name="adj2" fmla="val -25297"/>
          </a:avLst>
        </a:prstGeom>
        <a:noFill/>
        <a:ln w="28575">
          <a:solidFill>
            <a:schemeClr val="accent1"/>
          </a:solidFill>
        </a:ln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lIns="182880" rtlCol="0" anchor="ctr"/>
        <a:lstStyle/>
        <a:p>
          <a:pPr algn="r" rtl="0"/>
          <a:r>
            <a:rPr lang="he-IL" sz="10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מידע</a:t>
          </a:r>
          <a:r>
            <a:rPr lang="he-IL" sz="105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he-I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התאם את שיעור המס לפי רצונך. אם אין להוסיפו להצעת המחיר, הזן אפס בתא שיעור המס.</a:t>
          </a:r>
          <a:endParaRPr lang="en-US" sz="1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 fPrintsWithSheet="0"/>
  </xdr:twoCellAnchor>
  <xdr:twoCellAnchor>
    <xdr:from>
      <xdr:col>0</xdr:col>
      <xdr:colOff>361950</xdr:colOff>
      <xdr:row>39</xdr:row>
      <xdr:rowOff>0</xdr:rowOff>
    </xdr:from>
    <xdr:to>
      <xdr:col>3</xdr:col>
      <xdr:colOff>9526</xdr:colOff>
      <xdr:row>48</xdr:row>
      <xdr:rowOff>47626</xdr:rowOff>
    </xdr:to>
    <xdr:graphicFrame macro="">
      <xdr:nvGraphicFramePr>
        <xdr:cNvPr id="2" name="תרשים 5 העלויות הגבוהות" descr="תרשים 5 העלויות הגבוהות" title="תרשים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BidItems" displayName="BidItems" ref="B7:F32" totalsRowCount="1" headerRowDxfId="12" dataDxfId="11" totalsRowDxfId="10">
  <tableColumns count="5">
    <tableColumn id="1" name="כמות" dataDxfId="9" totalsRowDxfId="8"/>
    <tableColumn id="2" name="תיאור" dataDxfId="7" totalsRowDxfId="6"/>
    <tableColumn id="3" name="עלות" totalsRowLabel="סכום ביניים" dataDxfId="5" totalsRowDxfId="4"/>
    <tableColumn id="4" name="סך הכל" totalsRowFunction="sum" dataDxfId="3" totalsRowDxfId="2">
      <calculatedColumnFormula>BidItems[עלות]*BidItems[כמות]</calculatedColumnFormula>
    </tableColumn>
    <tableColumn id="5" name=" " totalsRowFunction="count" dataDxfId="1" totalsRowDxfId="0">
      <calculatedColumnFormula>_xlfn.RANK.EQ(BidItems[[#This Row],[סך הכל]],BidItems[סך הכל])</calculatedColumnFormula>
    </tableColumn>
  </tableColumns>
  <tableStyleInfo name="ConstructionBidSheet_table1" showFirstColumn="0" showLastColumn="1" showRowStripes="1" showColumnStripes="0"/>
  <extLst>
    <ext xmlns:x14="http://schemas.microsoft.com/office/spreadsheetml/2009/9/main" uri="{504A1905-F514-4f6f-8877-14C23A59335A}">
      <x14:table altText="טבלה" altTextSummary="רשימה של חומרים ועלויות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ecatur">
  <a:themeElements>
    <a:clrScheme name="ConstructionBidSheet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E8B31C"/>
      </a:accent1>
      <a:accent2>
        <a:srgbClr val="499000"/>
      </a:accent2>
      <a:accent3>
        <a:srgbClr val="D94717"/>
      </a:accent3>
      <a:accent4>
        <a:srgbClr val="2374B8"/>
      </a:accent4>
      <a:accent5>
        <a:srgbClr val="E77712"/>
      </a:accent5>
      <a:accent6>
        <a:srgbClr val="7947A9"/>
      </a:accent6>
      <a:hlink>
        <a:srgbClr val="2374B8"/>
      </a:hlink>
      <a:folHlink>
        <a:srgbClr val="7947A9"/>
      </a:folHlink>
    </a:clrScheme>
    <a:fontScheme name="ConstructionBidSheet_fonts">
      <a:majorFont>
        <a:latin typeface="Impact"/>
        <a:ea typeface=""/>
        <a:cs typeface=""/>
      </a:majorFont>
      <a:minorFont>
        <a:latin typeface="Arial"/>
        <a:ea typeface=""/>
        <a:cs typeface=""/>
      </a:minorFont>
    </a:fontScheme>
    <a:fmtScheme name="Decatur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  <a:satMod val="110000"/>
              </a:schemeClr>
            </a:gs>
            <a:gs pos="47500">
              <a:schemeClr val="phClr">
                <a:tint val="53000"/>
                <a:satMod val="120000"/>
              </a:schemeClr>
            </a:gs>
            <a:gs pos="58500">
              <a:schemeClr val="phClr">
                <a:tint val="53000"/>
                <a:satMod val="120000"/>
              </a:schemeClr>
            </a:gs>
            <a:gs pos="100000">
              <a:schemeClr val="phClr">
                <a:tint val="9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4000"/>
                <a:satMod val="105000"/>
              </a:schemeClr>
            </a:gs>
            <a:gs pos="47500">
              <a:schemeClr val="phClr">
                <a:shade val="88000"/>
                <a:satMod val="105000"/>
              </a:schemeClr>
            </a:gs>
            <a:gs pos="58500">
              <a:schemeClr val="phClr">
                <a:shade val="88000"/>
                <a:satMod val="105000"/>
              </a:schemeClr>
            </a:gs>
            <a:gs pos="100000">
              <a:schemeClr val="phClr">
                <a:shade val="54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282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3600000" algn="r" rotWithShape="0">
              <a:srgbClr val="000000">
                <a:alpha val="30000"/>
              </a:srgbClr>
            </a:outerShdw>
          </a:effectLst>
        </a:effectStyle>
        <a:effectStyle>
          <a:effectLst>
            <a:outerShdw blurRad="63500" dist="25400" dir="3600000" algn="r" rotWithShape="0">
              <a:srgbClr val="000000">
                <a:alpha val="36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76200" dist="38100" dir="3600000" algn="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harsh" dir="tl">
              <a:rot lat="0" lon="0" rev="9000000"/>
            </a:lightRig>
          </a:scene3d>
          <a:sp3d contourW="44450" prstMaterial="flat">
            <a:bevelT w="38100" h="508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52000"/>
                <a:satMod val="105000"/>
              </a:schemeClr>
            </a:gs>
            <a:gs pos="47500">
              <a:schemeClr val="phClr">
                <a:tint val="90000"/>
                <a:shade val="89000"/>
                <a:satMod val="105000"/>
              </a:schemeClr>
            </a:gs>
            <a:gs pos="58500">
              <a:schemeClr val="phClr">
                <a:tint val="85000"/>
                <a:shade val="89000"/>
                <a:satMod val="105000"/>
              </a:schemeClr>
            </a:gs>
            <a:gs pos="100000">
              <a:schemeClr val="phClr">
                <a:tint val="100000"/>
                <a:shade val="52000"/>
                <a:satMod val="105000"/>
              </a:schemeClr>
            </a:gs>
          </a:gsLst>
          <a:lin ang="36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</a:schemeClr>
              <a:schemeClr val="phClr">
                <a:shade val="85000"/>
                <a:satMod val="120000"/>
              </a:schemeClr>
            </a:duotone>
          </a:blip>
          <a:tile tx="0" ty="0" sx="52000" sy="52000" flip="none" algn="tl"/>
        </a:blipFill>
      </a:bgFillStyleLst>
    </a:fmtScheme>
  </a:themeElements>
  <a:objectDefaults>
    <a:spDef>
      <a:spPr>
        <a:noFill/>
        <a:ln w="28575">
          <a:solidFill>
            <a:schemeClr val="accent1"/>
          </a:solidFill>
        </a:ln>
        <a:effectLst/>
      </a:spPr>
      <a:bodyPr vertOverflow="clip" horzOverflow="clip" rtlCol="0" anchor="ctr"/>
      <a:lstStyle>
        <a:defPPr algn="l">
          <a:defRPr sz="1000" b="1"/>
        </a:defPPr>
      </a:lstStyle>
      <a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hn@fabrikam.com" TargetMode="External"/><Relationship Id="rId1" Type="http://schemas.openxmlformats.org/officeDocument/2006/relationships/hyperlink" Target="mailto:michael@proseware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G48"/>
  <sheetViews>
    <sheetView showGridLines="0" rightToLeft="1" tabSelected="1" zoomScaleNormal="100" workbookViewId="0"/>
  </sheetViews>
  <sheetFormatPr defaultRowHeight="12.75"/>
  <cols>
    <col min="1" max="1" width="6.28515625" style="1" customWidth="1"/>
    <col min="2" max="2" width="16.5703125" style="1" customWidth="1"/>
    <col min="3" max="3" width="29.140625" style="1" customWidth="1"/>
    <col min="4" max="4" width="6.28515625" style="1" customWidth="1"/>
    <col min="5" max="5" width="18.5703125" style="1" customWidth="1"/>
    <col min="6" max="6" width="31.5703125" style="1" customWidth="1"/>
    <col min="7" max="7" width="6.28515625" style="1" customWidth="1"/>
    <col min="8" max="16384" width="9.140625" style="1"/>
  </cols>
  <sheetData>
    <row r="1" spans="2:7" ht="18" customHeight="1"/>
    <row r="2" spans="2:7" s="3" customFormat="1" ht="45.75" customHeight="1">
      <c r="B2" s="2" t="s">
        <v>30</v>
      </c>
      <c r="G2" s="3" t="s">
        <v>41</v>
      </c>
    </row>
    <row r="3" spans="2:7" ht="4.5" customHeight="1">
      <c r="B3" s="4"/>
      <c r="C3" s="4"/>
      <c r="D3" s="4"/>
      <c r="E3" s="4"/>
      <c r="F3" s="4"/>
    </row>
    <row r="5" spans="2:7" ht="23.25" customHeight="1">
      <c r="B5" s="5" t="s">
        <v>31</v>
      </c>
      <c r="E5" s="5" t="s">
        <v>32</v>
      </c>
    </row>
    <row r="6" spans="2:7" ht="18.75" customHeight="1">
      <c r="B6" s="6" t="s">
        <v>0</v>
      </c>
      <c r="C6" s="44" t="s">
        <v>18</v>
      </c>
      <c r="D6" s="6"/>
      <c r="E6" s="7" t="s">
        <v>21</v>
      </c>
      <c r="F6" s="44" t="s">
        <v>22</v>
      </c>
    </row>
    <row r="7" spans="2:7" ht="18.75" customHeight="1">
      <c r="B7" s="6" t="s">
        <v>1</v>
      </c>
      <c r="C7" s="44" t="s">
        <v>45</v>
      </c>
      <c r="D7" s="6"/>
      <c r="E7" s="7" t="s">
        <v>0</v>
      </c>
      <c r="F7" s="44" t="s">
        <v>19</v>
      </c>
    </row>
    <row r="8" spans="2:7" ht="18.75" customHeight="1">
      <c r="B8" s="6" t="s">
        <v>2</v>
      </c>
      <c r="C8" s="44" t="s">
        <v>47</v>
      </c>
      <c r="D8" s="6"/>
      <c r="E8" s="7" t="s">
        <v>1</v>
      </c>
      <c r="F8" s="44" t="s">
        <v>46</v>
      </c>
    </row>
    <row r="9" spans="2:7" ht="18.75" customHeight="1">
      <c r="B9" s="6" t="s">
        <v>3</v>
      </c>
      <c r="C9" s="8" t="s">
        <v>52</v>
      </c>
      <c r="D9" s="6"/>
      <c r="E9" s="7" t="s">
        <v>2</v>
      </c>
      <c r="F9" s="44" t="s">
        <v>47</v>
      </c>
    </row>
    <row r="10" spans="2:7" ht="18.75" customHeight="1">
      <c r="B10" s="6" t="s">
        <v>4</v>
      </c>
      <c r="C10" s="45" t="s">
        <v>49</v>
      </c>
      <c r="D10" s="6"/>
      <c r="E10" s="7" t="s">
        <v>3</v>
      </c>
      <c r="F10" s="8" t="s">
        <v>53</v>
      </c>
    </row>
    <row r="11" spans="2:7" ht="18.75" customHeight="1">
      <c r="B11" s="6"/>
      <c r="C11" s="7"/>
      <c r="D11" s="6"/>
      <c r="E11" s="7" t="s">
        <v>4</v>
      </c>
      <c r="F11" s="45" t="s">
        <v>48</v>
      </c>
    </row>
    <row r="12" spans="2:7" ht="18.75" customHeight="1">
      <c r="B12" s="6" t="s">
        <v>5</v>
      </c>
      <c r="C12" s="44" t="s">
        <v>50</v>
      </c>
      <c r="D12" s="6"/>
      <c r="E12" s="9" t="s">
        <v>20</v>
      </c>
      <c r="F12" s="10" t="s">
        <v>54</v>
      </c>
    </row>
    <row r="13" spans="2:7">
      <c r="C13" s="46"/>
    </row>
    <row r="14" spans="2:7" ht="23.25" customHeight="1">
      <c r="B14" s="5" t="s">
        <v>33</v>
      </c>
    </row>
    <row r="15" spans="2:7" ht="4.5" customHeight="1">
      <c r="B15" s="4"/>
      <c r="C15" s="4"/>
      <c r="D15" s="4"/>
      <c r="E15" s="4"/>
      <c r="F15" s="4"/>
    </row>
    <row r="16" spans="2:7">
      <c r="B16" s="47" t="s">
        <v>44</v>
      </c>
      <c r="C16" s="47"/>
      <c r="D16" s="47"/>
      <c r="E16" s="47"/>
      <c r="F16" s="47"/>
    </row>
    <row r="17" spans="2:6">
      <c r="B17" s="47"/>
      <c r="C17" s="47"/>
      <c r="D17" s="47"/>
      <c r="E17" s="47"/>
      <c r="F17" s="47"/>
    </row>
    <row r="18" spans="2:6">
      <c r="B18" s="47"/>
      <c r="C18" s="47"/>
      <c r="D18" s="47"/>
      <c r="E18" s="47"/>
      <c r="F18" s="47"/>
    </row>
    <row r="19" spans="2:6">
      <c r="B19" s="47"/>
      <c r="C19" s="47"/>
      <c r="D19" s="47"/>
      <c r="E19" s="47"/>
      <c r="F19" s="47"/>
    </row>
    <row r="20" spans="2:6">
      <c r="B20" s="47"/>
      <c r="C20" s="47"/>
      <c r="D20" s="47"/>
      <c r="E20" s="47"/>
      <c r="F20" s="47"/>
    </row>
    <row r="21" spans="2:6">
      <c r="B21" s="47"/>
      <c r="C21" s="47"/>
      <c r="D21" s="47"/>
      <c r="E21" s="47"/>
      <c r="F21" s="47"/>
    </row>
    <row r="22" spans="2:6">
      <c r="B22" s="47"/>
      <c r="C22" s="47"/>
      <c r="D22" s="47"/>
      <c r="E22" s="47"/>
      <c r="F22" s="47"/>
    </row>
    <row r="23" spans="2:6">
      <c r="B23" s="47"/>
      <c r="C23" s="47"/>
      <c r="D23" s="47"/>
      <c r="E23" s="47"/>
      <c r="F23" s="47"/>
    </row>
    <row r="24" spans="2:6">
      <c r="B24" s="47"/>
      <c r="C24" s="47"/>
      <c r="D24" s="47"/>
      <c r="E24" s="47"/>
      <c r="F24" s="47"/>
    </row>
    <row r="25" spans="2:6">
      <c r="B25" s="47"/>
      <c r="C25" s="47"/>
      <c r="D25" s="47"/>
      <c r="E25" s="47"/>
      <c r="F25" s="47"/>
    </row>
    <row r="26" spans="2:6">
      <c r="B26" s="47"/>
      <c r="C26" s="47"/>
      <c r="D26" s="47"/>
      <c r="E26" s="47"/>
      <c r="F26" s="47"/>
    </row>
    <row r="28" spans="2:6" ht="23.25" customHeight="1">
      <c r="B28" s="5" t="s">
        <v>34</v>
      </c>
    </row>
    <row r="29" spans="2:6" ht="4.5" customHeight="1">
      <c r="B29" s="4"/>
      <c r="C29" s="4"/>
      <c r="D29" s="4"/>
      <c r="E29" s="4"/>
      <c r="F29" s="4"/>
    </row>
    <row r="30" spans="2:6" ht="18" customHeight="1">
      <c r="B30" s="47" t="s">
        <v>51</v>
      </c>
      <c r="C30" s="47"/>
      <c r="D30" s="47"/>
      <c r="E30" s="47"/>
      <c r="F30" s="47"/>
    </row>
    <row r="31" spans="2:6">
      <c r="B31" s="47"/>
      <c r="C31" s="47"/>
      <c r="D31" s="47"/>
      <c r="E31" s="47"/>
      <c r="F31" s="47"/>
    </row>
    <row r="32" spans="2:6">
      <c r="B32" s="47"/>
      <c r="C32" s="47"/>
      <c r="D32" s="47"/>
      <c r="E32" s="47"/>
      <c r="F32" s="47"/>
    </row>
    <row r="33" spans="2:6">
      <c r="B33" s="11"/>
      <c r="C33" s="11"/>
      <c r="D33" s="11"/>
      <c r="E33" s="11"/>
      <c r="F33" s="11"/>
    </row>
    <row r="34" spans="2:6" ht="23.25" customHeight="1">
      <c r="B34" s="5" t="s">
        <v>24</v>
      </c>
    </row>
    <row r="35" spans="2:6" ht="4.5" customHeight="1">
      <c r="B35" s="4"/>
      <c r="C35" s="4"/>
      <c r="D35" s="4"/>
      <c r="E35" s="4"/>
      <c r="F35" s="4"/>
    </row>
    <row r="36" spans="2:6">
      <c r="B36" s="48" t="s">
        <v>28</v>
      </c>
      <c r="C36" s="48"/>
      <c r="D36" s="48"/>
      <c r="E36" s="48"/>
      <c r="F36" s="48"/>
    </row>
    <row r="37" spans="2:6">
      <c r="B37" s="48"/>
      <c r="C37" s="48"/>
      <c r="D37" s="48"/>
      <c r="E37" s="48"/>
      <c r="F37" s="48"/>
    </row>
    <row r="38" spans="2:6">
      <c r="B38" s="48"/>
      <c r="C38" s="48"/>
      <c r="D38" s="48"/>
      <c r="E38" s="48"/>
      <c r="F38" s="48"/>
    </row>
    <row r="39" spans="2:6" ht="33.75" customHeight="1">
      <c r="B39" s="12"/>
      <c r="C39" s="12"/>
      <c r="D39" s="12"/>
      <c r="E39" s="11"/>
      <c r="F39" s="12"/>
    </row>
    <row r="40" spans="2:6">
      <c r="B40" s="13" t="s">
        <v>35</v>
      </c>
      <c r="C40" s="11"/>
      <c r="D40" s="11"/>
      <c r="E40" s="11"/>
      <c r="F40" s="13" t="s">
        <v>26</v>
      </c>
    </row>
    <row r="41" spans="2:6">
      <c r="B41" s="11"/>
      <c r="C41" s="11"/>
      <c r="D41" s="11"/>
      <c r="E41" s="11"/>
      <c r="F41" s="11"/>
    </row>
    <row r="42" spans="2:6" ht="23.25" customHeight="1">
      <c r="B42" s="5" t="s">
        <v>25</v>
      </c>
    </row>
    <row r="43" spans="2:6" ht="4.5" customHeight="1">
      <c r="B43" s="4"/>
      <c r="C43" s="4"/>
      <c r="D43" s="4"/>
      <c r="E43" s="4"/>
      <c r="F43" s="4"/>
    </row>
    <row r="44" spans="2:6" ht="15.75" customHeight="1">
      <c r="B44" s="48" t="s">
        <v>29</v>
      </c>
      <c r="C44" s="48"/>
      <c r="D44" s="48"/>
      <c r="E44" s="48"/>
      <c r="F44" s="48"/>
    </row>
    <row r="45" spans="2:6" ht="15.75" customHeight="1">
      <c r="B45" s="48"/>
      <c r="C45" s="48"/>
      <c r="D45" s="48"/>
      <c r="E45" s="48"/>
      <c r="F45" s="48"/>
    </row>
    <row r="46" spans="2:6">
      <c r="B46" s="48"/>
      <c r="C46" s="48"/>
      <c r="D46" s="48"/>
      <c r="E46" s="48"/>
      <c r="F46" s="48"/>
    </row>
    <row r="47" spans="2:6" ht="33.75" customHeight="1">
      <c r="B47" s="12"/>
      <c r="C47" s="12"/>
      <c r="D47" s="12"/>
      <c r="E47" s="11"/>
      <c r="F47" s="12"/>
    </row>
    <row r="48" spans="2:6">
      <c r="B48" s="13" t="s">
        <v>36</v>
      </c>
      <c r="C48" s="11"/>
      <c r="D48" s="11"/>
      <c r="E48" s="11"/>
      <c r="F48" s="13" t="s">
        <v>26</v>
      </c>
    </row>
  </sheetData>
  <mergeCells count="4">
    <mergeCell ref="B16:F26"/>
    <mergeCell ref="B30:F32"/>
    <mergeCell ref="B44:F46"/>
    <mergeCell ref="B36:F38"/>
  </mergeCells>
  <conditionalFormatting sqref="B44:F46 B36:F38 B30:F32 B16:F26">
    <cfRule type="expression" dxfId="13" priority="1">
      <formula>B16=""</formula>
    </cfRule>
  </conditionalFormatting>
  <hyperlinks>
    <hyperlink ref="C10" r:id="rId1"/>
    <hyperlink ref="F11" r:id="rId2"/>
  </hyperlinks>
  <printOptions horizontalCentered="1"/>
  <pageMargins left="0.25" right="0.25" top="0.75" bottom="0.75" header="0.3" footer="0.3"/>
  <pageSetup fitToHeight="0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  <pageSetUpPr autoPageBreaks="0" fitToPage="1"/>
  </sheetPr>
  <dimension ref="A1:F51"/>
  <sheetViews>
    <sheetView showGridLines="0" rightToLeft="1" zoomScaleNormal="100" workbookViewId="0"/>
  </sheetViews>
  <sheetFormatPr defaultRowHeight="16.5" customHeight="1"/>
  <cols>
    <col min="1" max="1" width="6.28515625" style="1" customWidth="1"/>
    <col min="2" max="2" width="11.28515625" style="1" customWidth="1"/>
    <col min="3" max="3" width="42.5703125" style="1" customWidth="1"/>
    <col min="4" max="4" width="15.7109375" style="1" customWidth="1"/>
    <col min="5" max="5" width="18.28515625" style="1" customWidth="1"/>
    <col min="6" max="6" width="6.28515625" style="1" customWidth="1"/>
    <col min="7" max="16384" width="9.140625" style="1"/>
  </cols>
  <sheetData>
    <row r="1" spans="1:6" ht="18" customHeight="1">
      <c r="A1" s="14"/>
      <c r="B1" s="15"/>
      <c r="C1" s="15"/>
      <c r="D1" s="15"/>
      <c r="E1" s="15"/>
      <c r="F1" s="16"/>
    </row>
    <row r="2" spans="1:6" ht="45.75" customHeight="1">
      <c r="A2" s="17"/>
      <c r="B2" s="2" t="s">
        <v>27</v>
      </c>
      <c r="C2" s="18"/>
      <c r="D2" s="18"/>
      <c r="E2" s="18"/>
      <c r="F2" s="19" t="s">
        <v>41</v>
      </c>
    </row>
    <row r="3" spans="1:6" ht="4.5" customHeight="1">
      <c r="A3" s="17"/>
      <c r="B3" s="4"/>
      <c r="C3" s="4"/>
      <c r="D3" s="4"/>
      <c r="E3" s="4"/>
      <c r="F3" s="19"/>
    </row>
    <row r="4" spans="1:6" ht="12" customHeight="1">
      <c r="A4" s="17"/>
      <c r="F4" s="19"/>
    </row>
    <row r="5" spans="1:6" ht="23.25" customHeight="1">
      <c r="B5" s="5" t="s">
        <v>37</v>
      </c>
      <c r="C5" s="20"/>
      <c r="D5" s="20"/>
      <c r="E5" s="20"/>
    </row>
    <row r="6" spans="1:6" ht="4.5" customHeight="1">
      <c r="B6" s="4"/>
      <c r="C6" s="4"/>
      <c r="D6" s="4"/>
      <c r="E6" s="4"/>
    </row>
    <row r="7" spans="1:6" ht="16.5" customHeight="1">
      <c r="B7" s="21" t="s">
        <v>40</v>
      </c>
      <c r="C7" s="21" t="s">
        <v>6</v>
      </c>
      <c r="D7" s="22" t="s">
        <v>7</v>
      </c>
      <c r="E7" s="22" t="s">
        <v>8</v>
      </c>
      <c r="F7" s="1" t="s">
        <v>41</v>
      </c>
    </row>
    <row r="8" spans="1:6" ht="16.5" customHeight="1">
      <c r="B8" s="23">
        <v>5</v>
      </c>
      <c r="C8" s="21" t="s">
        <v>9</v>
      </c>
      <c r="D8" s="24">
        <v>6.75</v>
      </c>
      <c r="E8" s="24">
        <f>BidItems[עלות]*BidItems[כמות]</f>
        <v>33.75</v>
      </c>
      <c r="F8" s="1">
        <f>_xlfn.RANK.EQ(BidItems[[#This Row],[סך הכל]],BidItems[סך הכל])</f>
        <v>4</v>
      </c>
    </row>
    <row r="9" spans="1:6" ht="16.5" customHeight="1">
      <c r="B9" s="23">
        <v>20</v>
      </c>
      <c r="C9" s="21" t="s">
        <v>10</v>
      </c>
      <c r="D9" s="24">
        <v>4.97</v>
      </c>
      <c r="E9" s="24">
        <f>BidItems[עלות]*BidItems[כמות]</f>
        <v>99.399999999999991</v>
      </c>
      <c r="F9" s="1">
        <f>_xlfn.RANK.EQ(BidItems[[#This Row],[סך הכל]],BidItems[סך הכל])</f>
        <v>2</v>
      </c>
    </row>
    <row r="10" spans="1:6" ht="16.5" customHeight="1">
      <c r="B10" s="23">
        <v>30</v>
      </c>
      <c r="C10" s="21" t="s">
        <v>11</v>
      </c>
      <c r="D10" s="24">
        <v>2.4900000000000002</v>
      </c>
      <c r="E10" s="24">
        <f>BidItems[עלות]*BidItems[כמות]</f>
        <v>74.7</v>
      </c>
      <c r="F10" s="1">
        <f>_xlfn.RANK.EQ(BidItems[[#This Row],[סך הכל]],BidItems[סך הכל])</f>
        <v>3</v>
      </c>
    </row>
    <row r="11" spans="1:6" ht="16.5" customHeight="1">
      <c r="B11" s="23">
        <v>2</v>
      </c>
      <c r="C11" s="21" t="s">
        <v>13</v>
      </c>
      <c r="D11" s="24">
        <v>6.67</v>
      </c>
      <c r="E11" s="24">
        <f>BidItems[עלות]*BidItems[כמות]</f>
        <v>13.34</v>
      </c>
      <c r="F11" s="1">
        <f>_xlfn.RANK.EQ(BidItems[[#This Row],[סך הכל]],BidItems[סך הכל])</f>
        <v>6</v>
      </c>
    </row>
    <row r="12" spans="1:6" ht="16.5" customHeight="1">
      <c r="B12" s="23">
        <v>2</v>
      </c>
      <c r="C12" s="21" t="s">
        <v>12</v>
      </c>
      <c r="D12" s="24">
        <v>3.25</v>
      </c>
      <c r="E12" s="24">
        <f>BidItems[עלות]*BidItems[כמות]</f>
        <v>6.5</v>
      </c>
      <c r="F12" s="1">
        <f>_xlfn.RANK.EQ(BidItems[[#This Row],[סך הכל]],BidItems[סך הכל])</f>
        <v>7</v>
      </c>
    </row>
    <row r="13" spans="1:6" ht="16.5" customHeight="1">
      <c r="B13" s="23">
        <v>2</v>
      </c>
      <c r="C13" s="21" t="s">
        <v>14</v>
      </c>
      <c r="D13" s="24">
        <v>7.75</v>
      </c>
      <c r="E13" s="24">
        <f>BidItems[עלות]*BidItems[כמות]</f>
        <v>15.5</v>
      </c>
      <c r="F13" s="1">
        <f>_xlfn.RANK.EQ(BidItems[[#This Row],[סך הכל]],BidItems[סך הכל])</f>
        <v>5</v>
      </c>
    </row>
    <row r="14" spans="1:6" ht="16.5" customHeight="1">
      <c r="B14" s="23">
        <v>2</v>
      </c>
      <c r="C14" s="21" t="s">
        <v>23</v>
      </c>
      <c r="D14" s="24">
        <v>100</v>
      </c>
      <c r="E14" s="24">
        <f>BidItems[עלות]*BidItems[כמות]</f>
        <v>200</v>
      </c>
      <c r="F14" s="1">
        <f>_xlfn.RANK.EQ(BidItems[[#This Row],[סך הכל]],BidItems[סך הכל])</f>
        <v>1</v>
      </c>
    </row>
    <row r="15" spans="1:6" ht="16.5" customHeight="1">
      <c r="B15" s="23"/>
      <c r="C15" s="21"/>
      <c r="D15" s="24"/>
      <c r="E15" s="25">
        <f>BidItems[עלות]*BidItems[כמות]</f>
        <v>0</v>
      </c>
      <c r="F15" s="1">
        <f>_xlfn.RANK.EQ(BidItems[[#This Row],[סך הכל]],BidItems[סך הכל])</f>
        <v>8</v>
      </c>
    </row>
    <row r="16" spans="1:6" ht="16.5" customHeight="1">
      <c r="B16" s="23"/>
      <c r="C16" s="21"/>
      <c r="D16" s="24"/>
      <c r="E16" s="25">
        <f>BidItems[עלות]*BidItems[כמות]</f>
        <v>0</v>
      </c>
      <c r="F16" s="1">
        <f>_xlfn.RANK.EQ(BidItems[[#This Row],[סך הכל]],BidItems[סך הכל])</f>
        <v>8</v>
      </c>
    </row>
    <row r="17" spans="1:6" ht="16.5" customHeight="1">
      <c r="B17" s="23"/>
      <c r="C17" s="21"/>
      <c r="D17" s="24"/>
      <c r="E17" s="25">
        <f>BidItems[עלות]*BidItems[כמות]</f>
        <v>0</v>
      </c>
      <c r="F17" s="1">
        <f>_xlfn.RANK.EQ(BidItems[[#This Row],[סך הכל]],BidItems[סך הכל])</f>
        <v>8</v>
      </c>
    </row>
    <row r="18" spans="1:6" ht="16.5" customHeight="1">
      <c r="B18" s="23"/>
      <c r="C18" s="21"/>
      <c r="D18" s="24"/>
      <c r="E18" s="25">
        <f>BidItems[עלות]*BidItems[כמות]</f>
        <v>0</v>
      </c>
      <c r="F18" s="1">
        <f>_xlfn.RANK.EQ(BidItems[[#This Row],[סך הכל]],BidItems[סך הכל])</f>
        <v>8</v>
      </c>
    </row>
    <row r="19" spans="1:6" ht="16.5" customHeight="1">
      <c r="B19" s="23"/>
      <c r="C19" s="21"/>
      <c r="D19" s="24"/>
      <c r="E19" s="25">
        <f>BidItems[עלות]*BidItems[כמות]</f>
        <v>0</v>
      </c>
      <c r="F19" s="1">
        <f>_xlfn.RANK.EQ(BidItems[[#This Row],[סך הכל]],BidItems[סך הכל])</f>
        <v>8</v>
      </c>
    </row>
    <row r="20" spans="1:6" ht="16.5" customHeight="1">
      <c r="B20" s="23"/>
      <c r="C20" s="21"/>
      <c r="D20" s="24"/>
      <c r="E20" s="25">
        <f>BidItems[עלות]*BidItems[כמות]</f>
        <v>0</v>
      </c>
      <c r="F20" s="1">
        <f>_xlfn.RANK.EQ(BidItems[[#This Row],[סך הכל]],BidItems[סך הכל])</f>
        <v>8</v>
      </c>
    </row>
    <row r="21" spans="1:6" ht="16.5" customHeight="1">
      <c r="B21" s="23"/>
      <c r="C21" s="21"/>
      <c r="D21" s="24"/>
      <c r="E21" s="25">
        <f>BidItems[עלות]*BidItems[כמות]</f>
        <v>0</v>
      </c>
      <c r="F21" s="1">
        <f>_xlfn.RANK.EQ(BidItems[[#This Row],[סך הכל]],BidItems[סך הכל])</f>
        <v>8</v>
      </c>
    </row>
    <row r="22" spans="1:6" ht="16.5" customHeight="1">
      <c r="B22" s="23"/>
      <c r="C22" s="21"/>
      <c r="D22" s="24"/>
      <c r="E22" s="25">
        <f>BidItems[עלות]*BidItems[כמות]</f>
        <v>0</v>
      </c>
      <c r="F22" s="1">
        <f>_xlfn.RANK.EQ(BidItems[[#This Row],[סך הכל]],BidItems[סך הכל])</f>
        <v>8</v>
      </c>
    </row>
    <row r="23" spans="1:6" ht="16.5" customHeight="1">
      <c r="A23" s="26"/>
      <c r="B23" s="23"/>
      <c r="C23" s="21"/>
      <c r="D23" s="24"/>
      <c r="E23" s="25">
        <f>BidItems[עלות]*BidItems[כמות]</f>
        <v>0</v>
      </c>
      <c r="F23" s="1">
        <f>_xlfn.RANK.EQ(BidItems[[#This Row],[סך הכל]],BidItems[סך הכל])</f>
        <v>8</v>
      </c>
    </row>
    <row r="24" spans="1:6" ht="16.5" customHeight="1">
      <c r="B24" s="23"/>
      <c r="C24" s="21"/>
      <c r="D24" s="24"/>
      <c r="E24" s="25">
        <f>BidItems[עלות]*BidItems[כמות]</f>
        <v>0</v>
      </c>
      <c r="F24" s="1">
        <f>_xlfn.RANK.EQ(BidItems[[#This Row],[סך הכל]],BidItems[סך הכל])</f>
        <v>8</v>
      </c>
    </row>
    <row r="25" spans="1:6" ht="16.5" customHeight="1">
      <c r="A25" s="26"/>
      <c r="B25" s="23"/>
      <c r="C25" s="21"/>
      <c r="D25" s="24"/>
      <c r="E25" s="25">
        <f>BidItems[עלות]*BidItems[כמות]</f>
        <v>0</v>
      </c>
      <c r="F25" s="1">
        <f>_xlfn.RANK.EQ(BidItems[[#This Row],[סך הכל]],BidItems[סך הכל])</f>
        <v>8</v>
      </c>
    </row>
    <row r="26" spans="1:6" ht="16.5" customHeight="1">
      <c r="B26" s="23"/>
      <c r="C26" s="21"/>
      <c r="D26" s="24"/>
      <c r="E26" s="25">
        <f>BidItems[עלות]*BidItems[כמות]</f>
        <v>0</v>
      </c>
      <c r="F26" s="1">
        <f>_xlfn.RANK.EQ(BidItems[[#This Row],[סך הכל]],BidItems[סך הכל])</f>
        <v>8</v>
      </c>
    </row>
    <row r="27" spans="1:6" ht="16.5" customHeight="1">
      <c r="A27" s="27"/>
      <c r="B27" s="23"/>
      <c r="C27" s="21"/>
      <c r="D27" s="24"/>
      <c r="E27" s="25">
        <f>BidItems[עלות]*BidItems[כמות]</f>
        <v>0</v>
      </c>
      <c r="F27" s="1">
        <f>_xlfn.RANK.EQ(BidItems[[#This Row],[סך הכל]],BidItems[סך הכל])</f>
        <v>8</v>
      </c>
    </row>
    <row r="28" spans="1:6" ht="16.5" customHeight="1">
      <c r="A28" s="27"/>
      <c r="B28" s="23"/>
      <c r="C28" s="21"/>
      <c r="D28" s="24"/>
      <c r="E28" s="25">
        <f>BidItems[עלות]*BidItems[כמות]</f>
        <v>0</v>
      </c>
      <c r="F28" s="1">
        <f>_xlfn.RANK.EQ(BidItems[[#This Row],[סך הכל]],BidItems[סך הכל])</f>
        <v>8</v>
      </c>
    </row>
    <row r="29" spans="1:6" ht="16.5" customHeight="1">
      <c r="A29" s="28"/>
      <c r="B29" s="23"/>
      <c r="C29" s="21"/>
      <c r="D29" s="24"/>
      <c r="E29" s="25">
        <f>BidItems[עלות]*BidItems[כמות]</f>
        <v>0</v>
      </c>
      <c r="F29" s="1">
        <f>_xlfn.RANK.EQ(BidItems[[#This Row],[סך הכל]],BidItems[סך הכל])</f>
        <v>8</v>
      </c>
    </row>
    <row r="30" spans="1:6" ht="16.5" customHeight="1">
      <c r="B30" s="23"/>
      <c r="C30" s="21"/>
      <c r="D30" s="24"/>
      <c r="E30" s="25">
        <f>BidItems[עלות]*BidItems[כמות]</f>
        <v>0</v>
      </c>
      <c r="F30" s="1">
        <f>_xlfn.RANK.EQ(BidItems[[#This Row],[סך הכל]],BidItems[סך הכל])</f>
        <v>8</v>
      </c>
    </row>
    <row r="31" spans="1:6" ht="16.5" customHeight="1">
      <c r="A31" s="1">
        <v>1</v>
      </c>
      <c r="B31" s="23"/>
      <c r="C31" s="21"/>
      <c r="D31" s="24"/>
      <c r="E31" s="25">
        <f>BidItems[עלות]*BidItems[כמות]</f>
        <v>0</v>
      </c>
      <c r="F31" s="1">
        <f>_xlfn.RANK.EQ(BidItems[[#This Row],[סך הכל]],BidItems[סך הכל])</f>
        <v>8</v>
      </c>
    </row>
    <row r="32" spans="1:6" ht="16.5" customHeight="1">
      <c r="A32" s="1">
        <v>2</v>
      </c>
      <c r="B32" s="23"/>
      <c r="C32" s="21"/>
      <c r="D32" s="21" t="s">
        <v>39</v>
      </c>
      <c r="E32" s="24">
        <f>SUBTOTAL(109,BidItems[סך הכל])</f>
        <v>443.18999999999994</v>
      </c>
      <c r="F32" s="1">
        <f>SUBTOTAL(103,BidItems[[ ]])</f>
        <v>24</v>
      </c>
    </row>
    <row r="33" spans="1:6" ht="16.5" customHeight="1">
      <c r="A33" s="1">
        <v>3</v>
      </c>
      <c r="D33" s="7" t="s">
        <v>16</v>
      </c>
      <c r="E33" s="29">
        <v>7.4999999999999997E-2</v>
      </c>
    </row>
    <row r="34" spans="1:6" ht="16.5" customHeight="1">
      <c r="A34" s="1">
        <v>4</v>
      </c>
      <c r="D34" s="30" t="s">
        <v>15</v>
      </c>
      <c r="E34" s="42">
        <f>TaxRate*BidItems[[#Totals],[סך הכל]]</f>
        <v>33.239249999999991</v>
      </c>
    </row>
    <row r="35" spans="1:6" ht="16.5" customHeight="1">
      <c r="A35" s="1">
        <v>5</v>
      </c>
      <c r="D35" s="30" t="s">
        <v>17</v>
      </c>
      <c r="E35" s="43">
        <f>Tax+BidItems[[#Totals],[סך הכל]]</f>
        <v>476.42924999999991</v>
      </c>
    </row>
    <row r="37" spans="1:6" ht="16.5" customHeight="1">
      <c r="A37" s="31"/>
    </row>
    <row r="38" spans="1:6" ht="23.25" customHeight="1">
      <c r="A38" s="31"/>
      <c r="B38" s="5" t="s">
        <v>38</v>
      </c>
      <c r="C38" s="20"/>
      <c r="D38" s="20"/>
      <c r="E38" s="20"/>
    </row>
    <row r="39" spans="1:6" ht="4.5" customHeight="1">
      <c r="A39" s="31"/>
      <c r="B39" s="4"/>
      <c r="C39" s="4"/>
      <c r="D39" s="4"/>
      <c r="E39" s="4"/>
      <c r="F39" s="19"/>
    </row>
    <row r="40" spans="1:6" ht="16.5" customHeight="1">
      <c r="A40" s="31"/>
      <c r="B40" s="32"/>
      <c r="C40" s="32"/>
      <c r="F40" s="19"/>
    </row>
    <row r="41" spans="1:6" ht="16.5" customHeight="1">
      <c r="A41" s="31"/>
      <c r="B41" s="33"/>
      <c r="C41" s="33" t="s">
        <v>42</v>
      </c>
      <c r="D41" s="34" t="s">
        <v>43</v>
      </c>
      <c r="E41" s="35"/>
      <c r="F41" s="19"/>
    </row>
    <row r="42" spans="1:6" ht="16.5" customHeight="1">
      <c r="A42" s="31"/>
      <c r="B42" s="36" t="str">
        <f>INDEX(BidItems[],MATCH(A31,BidItems[[ ]],0),2)</f>
        <v>עלות עבודה</v>
      </c>
      <c r="C42" s="37">
        <f>INDEX(BidItems[],MATCH(A31,BidItems[[ ]],0),4)</f>
        <v>200</v>
      </c>
      <c r="D42" s="49"/>
      <c r="E42" s="49"/>
      <c r="F42" s="19"/>
    </row>
    <row r="43" spans="1:6" ht="16.5" customHeight="1">
      <c r="A43" s="31"/>
      <c r="B43" s="36" t="str">
        <f>INDEX(BidItems[],MATCH(A32,BidItems[[ ]],0),2)</f>
        <v>עץ במידה של 2x4x10</v>
      </c>
      <c r="C43" s="37">
        <f>INDEX(BidItems[],MATCH(A32,BidItems[[ ]],0),4)</f>
        <v>99.399999999999991</v>
      </c>
      <c r="D43" s="49"/>
      <c r="E43" s="49"/>
      <c r="F43" s="19"/>
    </row>
    <row r="44" spans="1:6" ht="16.5" customHeight="1">
      <c r="A44" s="31"/>
      <c r="B44" s="36" t="str">
        <f>INDEX(BidItems[],MATCH(A33,BidItems[[ ]],0),2)</f>
        <v>תומכים</v>
      </c>
      <c r="C44" s="37">
        <f>INDEX(BidItems[],MATCH(A33,BidItems[[ ]],0),4)</f>
        <v>74.7</v>
      </c>
      <c r="D44" s="49"/>
      <c r="E44" s="49"/>
      <c r="F44" s="19"/>
    </row>
    <row r="45" spans="1:6" ht="16.5" customHeight="1">
      <c r="A45" s="31"/>
      <c r="B45" s="36" t="str">
        <f>INDEX(BidItems[],MATCH(A34,BidItems[[ ]],0),2)</f>
        <v>עץ במידה של 2x8x10</v>
      </c>
      <c r="C45" s="37">
        <f>INDEX(BidItems[],MATCH(A34,BidItems[[ ]],0),4)</f>
        <v>33.75</v>
      </c>
      <c r="D45" s="49"/>
      <c r="E45" s="49"/>
      <c r="F45" s="19"/>
    </row>
    <row r="46" spans="1:6" ht="16.5" customHeight="1">
      <c r="A46" s="31"/>
      <c r="B46" s="36" t="str">
        <f>INDEX(BidItems[],MATCH(A35,BidItems[[ ]],0),2)</f>
        <v>זוג כפפות מעור</v>
      </c>
      <c r="C46" s="37">
        <f>INDEX(BidItems[],MATCH(A35,BidItems[[ ]],0),4)</f>
        <v>15.5</v>
      </c>
      <c r="D46" s="49"/>
      <c r="E46" s="49"/>
      <c r="F46" s="19"/>
    </row>
    <row r="47" spans="1:6" ht="16.5" customHeight="1">
      <c r="A47" s="31"/>
      <c r="B47" s="38"/>
      <c r="C47" s="38"/>
      <c r="D47" s="49"/>
      <c r="E47" s="49"/>
      <c r="F47" s="19"/>
    </row>
    <row r="48" spans="1:6" ht="16.5" customHeight="1">
      <c r="A48" s="31"/>
      <c r="B48" s="39"/>
      <c r="C48" s="39"/>
      <c r="D48" s="49"/>
      <c r="E48" s="49"/>
      <c r="F48" s="40"/>
    </row>
    <row r="49" spans="1:6" ht="16.5" customHeight="1">
      <c r="A49" s="31"/>
      <c r="D49" s="49"/>
      <c r="E49" s="49"/>
      <c r="F49" s="16"/>
    </row>
    <row r="50" spans="1:6" ht="16.5" customHeight="1">
      <c r="A50" s="31"/>
      <c r="B50" s="39"/>
      <c r="C50" s="39"/>
      <c r="D50" s="41"/>
      <c r="E50" s="41"/>
      <c r="F50" s="40"/>
    </row>
    <row r="51" spans="1:6" ht="16.5" customHeight="1">
      <c r="B51" s="15"/>
      <c r="C51" s="15"/>
      <c r="D51" s="15"/>
      <c r="E51" s="15"/>
    </row>
  </sheetData>
  <mergeCells count="8">
    <mergeCell ref="D48:E48"/>
    <mergeCell ref="D49:E49"/>
    <mergeCell ref="D42:E42"/>
    <mergeCell ref="D43:E43"/>
    <mergeCell ref="D44:E44"/>
    <mergeCell ref="D45:E45"/>
    <mergeCell ref="D46:E46"/>
    <mergeCell ref="D47:E47"/>
  </mergeCells>
  <printOptions horizontalCentered="1"/>
  <pageMargins left="0.25" right="0.25" top="0.75" bottom="0.75" header="0.3" footer="0.3"/>
  <pageSetup fitToHeight="0" orientation="portrait" r:id="rId1"/>
  <headerFooter>
    <oddFooter>עמוד &amp;P מתוך &amp;N</oddFooter>
  </headerFooter>
  <rowBreaks count="1" manualBreakCount="1">
    <brk id="37" min="1" max="4" man="1"/>
  </rowBreaks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6e9ea02a-742f-4d68-9828-878561d4a93c" xsi:nil="true"/>
    <AssetExpire xmlns="6e9ea02a-742f-4d68-9828-878561d4a93c">2029-01-01T08:00:00+00:00</AssetExpire>
    <CampaignTagsTaxHTField0 xmlns="6e9ea02a-742f-4d68-9828-878561d4a93c">
      <Terms xmlns="http://schemas.microsoft.com/office/infopath/2007/PartnerControls"/>
    </CampaignTagsTaxHTField0>
    <IntlLangReviewDate xmlns="6e9ea02a-742f-4d68-9828-878561d4a93c" xsi:nil="true"/>
    <TPFriendlyName xmlns="6e9ea02a-742f-4d68-9828-878561d4a93c" xsi:nil="true"/>
    <IntlLangReview xmlns="6e9ea02a-742f-4d68-9828-878561d4a93c">false</IntlLangReview>
    <LocLastLocAttemptVersionLookup xmlns="6e9ea02a-742f-4d68-9828-878561d4a93c">854843</LocLastLocAttemptVersionLookup>
    <PolicheckWords xmlns="6e9ea02a-742f-4d68-9828-878561d4a93c" xsi:nil="true"/>
    <SubmitterId xmlns="6e9ea02a-742f-4d68-9828-878561d4a93c" xsi:nil="true"/>
    <AcquiredFrom xmlns="6e9ea02a-742f-4d68-9828-878561d4a93c">Internal MS</AcquiredFrom>
    <EditorialStatus xmlns="6e9ea02a-742f-4d68-9828-878561d4a93c">Complete</EditorialStatus>
    <Markets xmlns="6e9ea02a-742f-4d68-9828-878561d4a93c"/>
    <OriginAsset xmlns="6e9ea02a-742f-4d68-9828-878561d4a93c" xsi:nil="true"/>
    <AssetStart xmlns="6e9ea02a-742f-4d68-9828-878561d4a93c">2012-08-30T21:17:00+00:00</AssetStart>
    <FriendlyTitle xmlns="6e9ea02a-742f-4d68-9828-878561d4a93c" xsi:nil="true"/>
    <MarketSpecific xmlns="6e9ea02a-742f-4d68-9828-878561d4a93c">false</MarketSpecific>
    <TPNamespace xmlns="6e9ea02a-742f-4d68-9828-878561d4a93c" xsi:nil="true"/>
    <PublishStatusLookup xmlns="6e9ea02a-742f-4d68-9828-878561d4a93c">
      <Value>323762</Value>
    </PublishStatusLookup>
    <APAuthor xmlns="6e9ea02a-742f-4d68-9828-878561d4a93c">
      <UserInfo>
        <DisplayName>REDMOND\matthos</DisplayName>
        <AccountId>59</AccountId>
        <AccountType/>
      </UserInfo>
    </APAuthor>
    <TPCommandLine xmlns="6e9ea02a-742f-4d68-9828-878561d4a93c" xsi:nil="true"/>
    <IntlLangReviewer xmlns="6e9ea02a-742f-4d68-9828-878561d4a93c" xsi:nil="true"/>
    <OpenTemplate xmlns="6e9ea02a-742f-4d68-9828-878561d4a93c">true</OpenTemplate>
    <CSXSubmissionDate xmlns="6e9ea02a-742f-4d68-9828-878561d4a93c" xsi:nil="true"/>
    <TaxCatchAll xmlns="6e9ea02a-742f-4d68-9828-878561d4a93c"/>
    <Manager xmlns="6e9ea02a-742f-4d68-9828-878561d4a93c" xsi:nil="true"/>
    <NumericId xmlns="6e9ea02a-742f-4d68-9828-878561d4a93c" xsi:nil="true"/>
    <ParentAssetId xmlns="6e9ea02a-742f-4d68-9828-878561d4a93c" xsi:nil="true"/>
    <OriginalSourceMarket xmlns="6e9ea02a-742f-4d68-9828-878561d4a93c">english</OriginalSourceMarket>
    <ApprovalStatus xmlns="6e9ea02a-742f-4d68-9828-878561d4a93c">InProgress</ApprovalStatus>
    <TPComponent xmlns="6e9ea02a-742f-4d68-9828-878561d4a93c" xsi:nil="true"/>
    <EditorialTags xmlns="6e9ea02a-742f-4d68-9828-878561d4a93c" xsi:nil="true"/>
    <TPExecutable xmlns="6e9ea02a-742f-4d68-9828-878561d4a93c" xsi:nil="true"/>
    <TPLaunchHelpLink xmlns="6e9ea02a-742f-4d68-9828-878561d4a93c" xsi:nil="true"/>
    <LocComments xmlns="6e9ea02a-742f-4d68-9828-878561d4a93c" xsi:nil="true"/>
    <LocRecommendedHandoff xmlns="6e9ea02a-742f-4d68-9828-878561d4a93c" xsi:nil="true"/>
    <SourceTitle xmlns="6e9ea02a-742f-4d68-9828-878561d4a93c" xsi:nil="true"/>
    <CSXUpdate xmlns="6e9ea02a-742f-4d68-9828-878561d4a93c">false</CSXUpdate>
    <IntlLocPriority xmlns="6e9ea02a-742f-4d68-9828-878561d4a93c" xsi:nil="true"/>
    <UAProjectedTotalWords xmlns="6e9ea02a-742f-4d68-9828-878561d4a93c" xsi:nil="true"/>
    <AssetType xmlns="6e9ea02a-742f-4d68-9828-878561d4a93c">TP</AssetType>
    <MachineTranslated xmlns="6e9ea02a-742f-4d68-9828-878561d4a93c">false</MachineTranslated>
    <OutputCachingOn xmlns="6e9ea02a-742f-4d68-9828-878561d4a93c">false</OutputCachingOn>
    <TemplateStatus xmlns="6e9ea02a-742f-4d68-9828-878561d4a93c">Complete</TemplateStatus>
    <IsSearchable xmlns="6e9ea02a-742f-4d68-9828-878561d4a93c">true</IsSearchable>
    <ContentItem xmlns="6e9ea02a-742f-4d68-9828-878561d4a93c" xsi:nil="true"/>
    <HandoffToMSDN xmlns="6e9ea02a-742f-4d68-9828-878561d4a93c" xsi:nil="true"/>
    <ShowIn xmlns="6e9ea02a-742f-4d68-9828-878561d4a93c">Show everywhere</ShowIn>
    <ThumbnailAssetId xmlns="6e9ea02a-742f-4d68-9828-878561d4a93c" xsi:nil="true"/>
    <UALocComments xmlns="6e9ea02a-742f-4d68-9828-878561d4a93c" xsi:nil="true"/>
    <UALocRecommendation xmlns="6e9ea02a-742f-4d68-9828-878561d4a93c">Localize</UALocRecommendation>
    <LastModifiedDateTime xmlns="6e9ea02a-742f-4d68-9828-878561d4a93c" xsi:nil="true"/>
    <LegacyData xmlns="6e9ea02a-742f-4d68-9828-878561d4a93c" xsi:nil="true"/>
    <LocManualTestRequired xmlns="6e9ea02a-742f-4d68-9828-878561d4a93c">false</LocManualTestRequired>
    <LocMarketGroupTiers2 xmlns="6e9ea02a-742f-4d68-9828-878561d4a93c" xsi:nil="true"/>
    <ClipArtFilename xmlns="6e9ea02a-742f-4d68-9828-878561d4a93c" xsi:nil="true"/>
    <TPApplication xmlns="6e9ea02a-742f-4d68-9828-878561d4a93c" xsi:nil="true"/>
    <CSXHash xmlns="6e9ea02a-742f-4d68-9828-878561d4a93c" xsi:nil="true"/>
    <DirectSourceMarket xmlns="6e9ea02a-742f-4d68-9828-878561d4a93c">english</DirectSourceMarket>
    <PrimaryImageGen xmlns="6e9ea02a-742f-4d68-9828-878561d4a93c">false</PrimaryImageGen>
    <PlannedPubDate xmlns="6e9ea02a-742f-4d68-9828-878561d4a93c" xsi:nil="true"/>
    <CSXSubmissionMarket xmlns="6e9ea02a-742f-4d68-9828-878561d4a93c" xsi:nil="true"/>
    <Downloads xmlns="6e9ea02a-742f-4d68-9828-878561d4a93c">0</Downloads>
    <ArtSampleDocs xmlns="6e9ea02a-742f-4d68-9828-878561d4a93c" xsi:nil="true"/>
    <TrustLevel xmlns="6e9ea02a-742f-4d68-9828-878561d4a93c">1 Microsoft Managed Content</TrustLevel>
    <BlockPublish xmlns="6e9ea02a-742f-4d68-9828-878561d4a93c">false</BlockPublish>
    <TPLaunchHelpLinkType xmlns="6e9ea02a-742f-4d68-9828-878561d4a93c">Template</TPLaunchHelpLinkType>
    <LocalizationTagsTaxHTField0 xmlns="6e9ea02a-742f-4d68-9828-878561d4a93c">
      <Terms xmlns="http://schemas.microsoft.com/office/infopath/2007/PartnerControls"/>
    </LocalizationTagsTaxHTField0>
    <BusinessGroup xmlns="6e9ea02a-742f-4d68-9828-878561d4a93c" xsi:nil="true"/>
    <Providers xmlns="6e9ea02a-742f-4d68-9828-878561d4a93c" xsi:nil="true"/>
    <TemplateTemplateType xmlns="6e9ea02a-742f-4d68-9828-878561d4a93c">Excel Spreadsheet Template</TemplateTemplateType>
    <TimesCloned xmlns="6e9ea02a-742f-4d68-9828-878561d4a93c" xsi:nil="true"/>
    <TPAppVersion xmlns="6e9ea02a-742f-4d68-9828-878561d4a93c" xsi:nil="true"/>
    <VoteCount xmlns="6e9ea02a-742f-4d68-9828-878561d4a93c" xsi:nil="true"/>
    <FeatureTagsTaxHTField0 xmlns="6e9ea02a-742f-4d68-9828-878561d4a93c">
      <Terms xmlns="http://schemas.microsoft.com/office/infopath/2007/PartnerControls"/>
    </FeatureTagsTaxHTField0>
    <Provider xmlns="6e9ea02a-742f-4d68-9828-878561d4a93c" xsi:nil="true"/>
    <UACurrentWords xmlns="6e9ea02a-742f-4d68-9828-878561d4a93c" xsi:nil="true"/>
    <AssetId xmlns="6e9ea02a-742f-4d68-9828-878561d4a93c">TP103427376</AssetId>
    <TPClientViewer xmlns="6e9ea02a-742f-4d68-9828-878561d4a93c" xsi:nil="true"/>
    <DSATActionTaken xmlns="6e9ea02a-742f-4d68-9828-878561d4a93c" xsi:nil="true"/>
    <APEditor xmlns="6e9ea02a-742f-4d68-9828-878561d4a93c">
      <UserInfo>
        <DisplayName/>
        <AccountId xsi:nil="true"/>
        <AccountType/>
      </UserInfo>
    </APEditor>
    <TPInstallLocation xmlns="6e9ea02a-742f-4d68-9828-878561d4a93c" xsi:nil="true"/>
    <OOCacheId xmlns="6e9ea02a-742f-4d68-9828-878561d4a93c" xsi:nil="true"/>
    <IsDeleted xmlns="6e9ea02a-742f-4d68-9828-878561d4a93c">false</IsDeleted>
    <PublishTargets xmlns="6e9ea02a-742f-4d68-9828-878561d4a93c">OfficeOnlineVNext</PublishTargets>
    <ApprovalLog xmlns="6e9ea02a-742f-4d68-9828-878561d4a93c" xsi:nil="true"/>
    <BugNumber xmlns="6e9ea02a-742f-4d68-9828-878561d4a93c" xsi:nil="true"/>
    <CrawlForDependencies xmlns="6e9ea02a-742f-4d68-9828-878561d4a93c">false</CrawlForDependencies>
    <InternalTagsTaxHTField0 xmlns="6e9ea02a-742f-4d68-9828-878561d4a93c">
      <Terms xmlns="http://schemas.microsoft.com/office/infopath/2007/PartnerControls"/>
    </InternalTagsTaxHTField0>
    <LastHandOff xmlns="6e9ea02a-742f-4d68-9828-878561d4a93c" xsi:nil="true"/>
    <Milestone xmlns="6e9ea02a-742f-4d68-9828-878561d4a93c" xsi:nil="true"/>
    <OriginalRelease xmlns="6e9ea02a-742f-4d68-9828-878561d4a93c">15</OriginalRelease>
    <RecommendationsModifier xmlns="6e9ea02a-742f-4d68-9828-878561d4a93c" xsi:nil="true"/>
    <ScenarioTagsTaxHTField0 xmlns="6e9ea02a-742f-4d68-9828-878561d4a93c">
      <Terms xmlns="http://schemas.microsoft.com/office/infopath/2007/PartnerControls"/>
    </ScenarioTagsTaxHTField0>
    <UANotes xmlns="6e9ea02a-742f-4d68-9828-878561d4a93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BB3141636B894099107E6745BE213F04000498BE45EB900B4AB4820FEB2B334769" ma:contentTypeVersion="56" ma:contentTypeDescription="Create a new document." ma:contentTypeScope="" ma:versionID="88e980705863785d62b24b2f127d8bb3">
  <xsd:schema xmlns:xsd="http://www.w3.org/2001/XMLSchema" xmlns:xs="http://www.w3.org/2001/XMLSchema" xmlns:p="http://schemas.microsoft.com/office/2006/metadata/properties" xmlns:ns2="6e9ea02a-742f-4d68-9828-878561d4a93c" targetNamespace="http://schemas.microsoft.com/office/2006/metadata/properties" ma:root="true" ma:fieldsID="41e2f71470f72663579db268ee2082ab" ns2:_="">
    <xsd:import namespace="6e9ea02a-742f-4d68-9828-878561d4a93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ea02a-742f-4d68-9828-878561d4a93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f49aea52-57cf-43e7-ad0f-73ec13c09c94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97E9BFDD-1396-425A-819C-F21D6585E878}" ma:internalName="CSXSubmissionMarket" ma:readOnly="false" ma:showField="MarketName" ma:web="6e9ea02a-742f-4d68-9828-878561d4a93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42c02ad2-dcd2-4ab7-b59e-0790aa7a8b1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B6637CC4-9BDF-4FFE-8FBF-4FC2310BA3C9}" ma:internalName="InProjectListLookup" ma:readOnly="true" ma:showField="InProjectList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481df231-2158-47e1-bee4-ea5880ea189b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B6637CC4-9BDF-4FFE-8FBF-4FC2310BA3C9}" ma:internalName="LastCompleteVersionLookup" ma:readOnly="true" ma:showField="LastCompleteVersion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B6637CC4-9BDF-4FFE-8FBF-4FC2310BA3C9}" ma:internalName="LastPreviewErrorLookup" ma:readOnly="true" ma:showField="LastPreviewError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B6637CC4-9BDF-4FFE-8FBF-4FC2310BA3C9}" ma:internalName="LastPreviewResultLookup" ma:readOnly="true" ma:showField="LastPreviewResult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B6637CC4-9BDF-4FFE-8FBF-4FC2310BA3C9}" ma:internalName="LastPreviewAttemptDateLookup" ma:readOnly="true" ma:showField="LastPreviewAttemptDate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B6637CC4-9BDF-4FFE-8FBF-4FC2310BA3C9}" ma:internalName="LastPreviewedByLookup" ma:readOnly="true" ma:showField="LastPreviewedBy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B6637CC4-9BDF-4FFE-8FBF-4FC2310BA3C9}" ma:internalName="LastPreviewTimeLookup" ma:readOnly="true" ma:showField="LastPreviewTime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B6637CC4-9BDF-4FFE-8FBF-4FC2310BA3C9}" ma:internalName="LastPreviewVersionLookup" ma:readOnly="true" ma:showField="LastPreviewVersion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B6637CC4-9BDF-4FFE-8FBF-4FC2310BA3C9}" ma:internalName="LastPublishErrorLookup" ma:readOnly="true" ma:showField="LastPublishError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B6637CC4-9BDF-4FFE-8FBF-4FC2310BA3C9}" ma:internalName="LastPublishResultLookup" ma:readOnly="true" ma:showField="LastPublishResult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B6637CC4-9BDF-4FFE-8FBF-4FC2310BA3C9}" ma:internalName="LastPublishAttemptDateLookup" ma:readOnly="true" ma:showField="LastPublishAttemptDate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B6637CC4-9BDF-4FFE-8FBF-4FC2310BA3C9}" ma:internalName="LastPublishedByLookup" ma:readOnly="true" ma:showField="LastPublishedBy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B6637CC4-9BDF-4FFE-8FBF-4FC2310BA3C9}" ma:internalName="LastPublishTimeLookup" ma:readOnly="true" ma:showField="LastPublishTime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B6637CC4-9BDF-4FFE-8FBF-4FC2310BA3C9}" ma:internalName="LastPublishVersionLookup" ma:readOnly="true" ma:showField="LastPublishVersion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622F070B-DDF0-482B-8229-151EA03F1CC6}" ma:internalName="LocLastLocAttemptVersionLookup" ma:readOnly="false" ma:showField="LastLocAttemptVersion" ma:web="6e9ea02a-742f-4d68-9828-878561d4a93c">
      <xsd:simpleType>
        <xsd:restriction base="dms:Lookup"/>
      </xsd:simpleType>
    </xsd:element>
    <xsd:element name="LocLastLocAttemptVersionTypeLookup" ma:index="71" nillable="true" ma:displayName="Loc Last Loc Attempt Version Type" ma:default="" ma:list="{622F070B-DDF0-482B-8229-151EA03F1CC6}" ma:internalName="LocLastLocAttemptVersionTypeLookup" ma:readOnly="true" ma:showField="LastLocAttemptVersionType" ma:web="6e9ea02a-742f-4d68-9828-878561d4a93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622F070B-DDF0-482B-8229-151EA03F1CC6}" ma:internalName="LocNewPublishedVersionLookup" ma:readOnly="true" ma:showField="NewPublishedVersion" ma:web="6e9ea02a-742f-4d68-9828-878561d4a93c">
      <xsd:simpleType>
        <xsd:restriction base="dms:Lookup"/>
      </xsd:simpleType>
    </xsd:element>
    <xsd:element name="LocOverallHandbackStatusLookup" ma:index="75" nillable="true" ma:displayName="Loc Overall Handback Status" ma:default="" ma:list="{622F070B-DDF0-482B-8229-151EA03F1CC6}" ma:internalName="LocOverallHandbackStatusLookup" ma:readOnly="true" ma:showField="OverallHandbackStatus" ma:web="6e9ea02a-742f-4d68-9828-878561d4a93c">
      <xsd:simpleType>
        <xsd:restriction base="dms:Lookup"/>
      </xsd:simpleType>
    </xsd:element>
    <xsd:element name="LocOverallLocStatusLookup" ma:index="76" nillable="true" ma:displayName="Loc Overall Localize Status" ma:default="" ma:list="{622F070B-DDF0-482B-8229-151EA03F1CC6}" ma:internalName="LocOverallLocStatusLookup" ma:readOnly="true" ma:showField="OverallLocStatus" ma:web="6e9ea02a-742f-4d68-9828-878561d4a93c">
      <xsd:simpleType>
        <xsd:restriction base="dms:Lookup"/>
      </xsd:simpleType>
    </xsd:element>
    <xsd:element name="LocOverallPreviewStatusLookup" ma:index="77" nillable="true" ma:displayName="Loc Overall Preview Status" ma:default="" ma:list="{622F070B-DDF0-482B-8229-151EA03F1CC6}" ma:internalName="LocOverallPreviewStatusLookup" ma:readOnly="true" ma:showField="OverallPreviewStatus" ma:web="6e9ea02a-742f-4d68-9828-878561d4a93c">
      <xsd:simpleType>
        <xsd:restriction base="dms:Lookup"/>
      </xsd:simpleType>
    </xsd:element>
    <xsd:element name="LocOverallPublishStatusLookup" ma:index="78" nillable="true" ma:displayName="Loc Overall Publish Status" ma:default="" ma:list="{622F070B-DDF0-482B-8229-151EA03F1CC6}" ma:internalName="LocOverallPublishStatusLookup" ma:readOnly="true" ma:showField="OverallPublishStatus" ma:web="6e9ea02a-742f-4d68-9828-878561d4a93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622F070B-DDF0-482B-8229-151EA03F1CC6}" ma:internalName="LocProcessedForHandoffsLookup" ma:readOnly="true" ma:showField="ProcessedForHandoffs" ma:web="6e9ea02a-742f-4d68-9828-878561d4a93c">
      <xsd:simpleType>
        <xsd:restriction base="dms:Lookup"/>
      </xsd:simpleType>
    </xsd:element>
    <xsd:element name="LocProcessedForMarketsLookup" ma:index="81" nillable="true" ma:displayName="Loc Processed For Markets" ma:default="" ma:list="{622F070B-DDF0-482B-8229-151EA03F1CC6}" ma:internalName="LocProcessedForMarketsLookup" ma:readOnly="true" ma:showField="ProcessedForMarkets" ma:web="6e9ea02a-742f-4d68-9828-878561d4a93c">
      <xsd:simpleType>
        <xsd:restriction base="dms:Lookup"/>
      </xsd:simpleType>
    </xsd:element>
    <xsd:element name="LocPublishedDependentAssetsLookup" ma:index="82" nillable="true" ma:displayName="Loc Published Dependent Assets" ma:default="" ma:list="{622F070B-DDF0-482B-8229-151EA03F1CC6}" ma:internalName="LocPublishedDependentAssetsLookup" ma:readOnly="true" ma:showField="PublishedDependentAssets" ma:web="6e9ea02a-742f-4d68-9828-878561d4a93c">
      <xsd:simpleType>
        <xsd:restriction base="dms:Lookup"/>
      </xsd:simpleType>
    </xsd:element>
    <xsd:element name="LocPublishedLinkedAssetsLookup" ma:index="83" nillable="true" ma:displayName="Loc Published Linked Assets" ma:default="" ma:list="{622F070B-DDF0-482B-8229-151EA03F1CC6}" ma:internalName="LocPublishedLinkedAssetsLookup" ma:readOnly="true" ma:showField="PublishedLinkedAssets" ma:web="6e9ea02a-742f-4d68-9828-878561d4a93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beb7c97e-5beb-4bf0-a64a-0521b62690fb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97E9BFDD-1396-425A-819C-F21D6585E878}" ma:internalName="Markets" ma:readOnly="false" ma:showField="MarketName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B6637CC4-9BDF-4FFE-8FBF-4FC2310BA3C9}" ma:internalName="NumOfRatingsLookup" ma:readOnly="true" ma:showField="NumOfRatings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B6637CC4-9BDF-4FFE-8FBF-4FC2310BA3C9}" ma:internalName="PublishStatusLookup" ma:readOnly="false" ma:showField="PublishStatus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2b17064f-d481-4d1f-8972-3daed425d45b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cf79a0c3-d835-43ca-aa56-b38f2035bf82}" ma:internalName="TaxCatchAll" ma:showField="CatchAllData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cf79a0c3-d835-43ca-aa56-b38f2035bf82}" ma:internalName="TaxCatchAllLabel" ma:readOnly="true" ma:showField="CatchAllDataLabel" ma:web="6e9ea02a-742f-4d68-9828-878561d4a9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139222-907E-4F2A-9512-F77D4FA08F00}"/>
</file>

<file path=customXml/itemProps2.xml><?xml version="1.0" encoding="utf-8"?>
<ds:datastoreItem xmlns:ds="http://schemas.openxmlformats.org/officeDocument/2006/customXml" ds:itemID="{E356B468-4C05-4EE0-B612-8A77C05F778F}"/>
</file>

<file path=customXml/itemProps3.xml><?xml version="1.0" encoding="utf-8"?>
<ds:datastoreItem xmlns:ds="http://schemas.openxmlformats.org/officeDocument/2006/customXml" ds:itemID="{32250024-30D5-4906-99E8-1AC6AB92B8E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4</vt:i4>
      </vt:variant>
    </vt:vector>
  </HeadingPairs>
  <TitlesOfParts>
    <vt:vector size="6" baseType="lpstr">
      <vt:lpstr>טופס הצעת מחיר לבניה</vt:lpstr>
      <vt:lpstr>סיכום עלות הצעת מחיר</vt:lpstr>
      <vt:lpstr>Tax</vt:lpstr>
      <vt:lpstr>TaxRate</vt:lpstr>
      <vt:lpstr>'טופס הצעת מחיר לבניה'!WPrint_Area_W</vt:lpstr>
      <vt:lpstr>'סיכום עלות הצעת מחיר'!WPrint_Area_W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Nitthita Choochaisri</dc:creator>
  <cp:lastModifiedBy>Boris Tsigelman</cp:lastModifiedBy>
  <dcterms:created xsi:type="dcterms:W3CDTF">2012-08-28T21:54:52Z</dcterms:created>
  <dcterms:modified xsi:type="dcterms:W3CDTF">2012-12-19T08:14:02Z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0x010100DEBB3141636B894099107E6745BE213F04000498BE45EB900B4AB4820FEB2B334769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